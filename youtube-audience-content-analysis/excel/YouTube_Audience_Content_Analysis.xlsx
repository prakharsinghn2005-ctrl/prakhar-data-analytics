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Insights" sheetId="3" state="visible" r:id="rId5"/>
    <sheet name="Videos_Data" sheetId="4" state="visible" r:id="rId6"/>
    <sheet name="Audience_Data" sheetId="5" state="visible" r:id="rId7"/>
    <sheet name="Content_Analysis" sheetId="6" state="visible" r:id="rId8"/>
    <sheet name="Timing_Trends" sheetId="7" state="visible" r:id="rId9"/>
    <sheet name="Top_Performers" sheetId="8" state="visible" r:id="rId10"/>
    <sheet name="Stats_Correlation" sheetId="9" state="visible" r:id="rId11"/>
  </sheets>
  <definedNames>
    <definedName function="false" hidden="true" localSheetId="3" name="_xlnm._FilterDatabase" vbProcedure="false">Videos_Data!$A$1:$V$145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3" authorId="0">
      <text>
        <r>
          <rPr>
            <sz val="10"/>
            <rFont val="Arial"/>
            <family val="2"/>
          </rPr>
          <t xml:space="preserve">Illustrative opening subscriber count. Replace with your channel's actual figure.</t>
        </r>
      </text>
    </comment>
  </commentList>
</comments>
</file>

<file path=xl/sharedStrings.xml><?xml version="1.0" encoding="utf-8"?>
<sst xmlns="http://schemas.openxmlformats.org/spreadsheetml/2006/main" count="960" uniqueCount="524">
  <si>
    <t xml:space="preserve">YouTube Audience &amp; Content Analysis Project</t>
  </si>
  <si>
    <t xml:space="preserve">Excel-based analytics project | BBA | Data analysis, KPI design, dashboarding and business recommendations</t>
  </si>
  <si>
    <t xml:space="preserve">1. Problem statement</t>
  </si>
  <si>
    <t xml:space="preserve">A YouTube creator wants to know what content to make, when to publish it, and who is watching, so that views, engagement and subscribers grow faster.</t>
  </si>
  <si>
    <t xml:space="preserve">This project analyses video-level performance and audience demographics to answer those questions with evidence.</t>
  </si>
  <si>
    <t xml:space="preserve">2. Objectives</t>
  </si>
  <si>
    <t xml:space="preserve">- Measure channel performance with KPIs: views, watch time, CTR, engagement rate, subscriber conversion.</t>
  </si>
  <si>
    <t xml:space="preserve">- Compare content categories, formats (Long-form vs Shorts) and video-length buckets.</t>
  </si>
  <si>
    <t xml:space="preserve">- Find the best publishing days and understand monthly growth, with a simple 3-month trend forecast.</t>
  </si>
  <si>
    <t xml:space="preserve">- Profile the audience by age, gender, country, device and traffic source.</t>
  </si>
  <si>
    <t xml:space="preserve">- Test relationships between variables using correlation and regression.</t>
  </si>
  <si>
    <t xml:space="preserve">- Convert findings into clear, data-backed content and publishing recommendations.</t>
  </si>
  <si>
    <t xml:space="preserve">3. Workbook guide</t>
  </si>
  <si>
    <t xml:space="preserve">- Dashboard: KPI tiles and 8 charts summarising the whole project.</t>
  </si>
  <si>
    <t xml:space="preserve">- Videos_Data: 144 videos. Navy headers = raw data; green headers = calculated columns (formulas).</t>
  </si>
  <si>
    <t xml:space="preserve">- Audience_Data: age x gender matrix, geography, device and traffic-source tables (illustrative inputs).</t>
  </si>
  <si>
    <t xml:space="preserve">- Content_Analysis: category, format and duration-bucket performance tables.</t>
  </si>
  <si>
    <t xml:space="preserve">- Timing_Trends: publishing-day, weekend vs weekday, monthly trend and linear forecast.</t>
  </si>
  <si>
    <t xml:space="preserve">- Top_Performers: top 10 by views, top 10 by engagement, bottom 5 by views.</t>
  </si>
  <si>
    <t xml:space="preserve">- Stats_Correlation: descriptive statistics, correlation matrix, regression and a what-if predictor.</t>
  </si>
  <si>
    <t xml:space="preserve">- Insights: auto-updating findings, recommendations and limitations.</t>
  </si>
  <si>
    <t xml:space="preserve">4. KPI definitions</t>
  </si>
  <si>
    <t xml:space="preserve">- CTR = Views / Impressions (approximation of impression click-through rate).</t>
  </si>
  <si>
    <t xml:space="preserve">- Engagement Rate = (Likes + Comments + Shares) / Views.</t>
  </si>
  <si>
    <t xml:space="preserve">- Avg View Duration = Watch Time (hrs) x 60 / Views.  Avg % Viewed = Avg View Duration / Video Duration.</t>
  </si>
  <si>
    <t xml:space="preserve">- Sub Conversion = Subscribers Gained / Views.</t>
  </si>
  <si>
    <t xml:space="preserve">- Weekend = Saturday and Sunday. Duration buckets: Under 1 min, 1-5, 5-10, 10-20, 20+ min.</t>
  </si>
  <si>
    <t xml:space="preserve">5. Methodology</t>
  </si>
  <si>
    <t xml:space="preserve">- Step 1 - Data: build/collect video-level and audience data (YouTube Studio &gt; Analytics &gt; Advanced mode &gt; Export).</t>
  </si>
  <si>
    <t xml:space="preserve">- Step 2 - Clean and enrich: add calculated columns (month, weekday, CTR, engagement, buckets).</t>
  </si>
  <si>
    <t xml:space="preserve">- Step 3 - Analyse: SUMIFS / COUNTIFS / AVERAGEIFS tables, RANK, LARGE / SMALL with INDEX / MATCH, CORREL, SLOPE, RSQ, FORECAST.</t>
  </si>
  <si>
    <t xml:space="preserve">- Step 4 - Visualise: dashboard with charts and conditional formatting.</t>
  </si>
  <si>
    <t xml:space="preserve">- Step 5 - Recommend: dynamic insights text driven by the analysis tables.</t>
  </si>
  <si>
    <t xml:space="preserve">6. Colour legend and assumptions</t>
  </si>
  <si>
    <t xml:space="preserve">- Blue text on yellow = input/assumption cells you can change (audience shares, average durations, opening subscribers, what-if impressions).</t>
  </si>
  <si>
    <t xml:space="preserve">- Black = formulas and raw data. Navy header = raw data columns; green header = calculated columns.</t>
  </si>
  <si>
    <t xml:space="preserve">- DATA DISCLAIMER: the 144 videos and audience shares are simulated for learning purposes (fixed random seed, built-in patterns such as weekend uplift and a length sweet spot). They do not describe a real channel.</t>
  </si>
  <si>
    <t xml:space="preserve">- Opening subscribers (12,500) and all audience shares / durations are assumptions, documented in the cells where they are used.</t>
  </si>
  <si>
    <t xml:space="preserve">- To use real data: paste your export over the raw columns A-M of Videos_Data (keep the same order and formats). If you add rows, insert them inside the table and copy the green formulas down so the fixed ranges (rows 2-145) pick them up.</t>
  </si>
  <si>
    <t xml:space="preserve">7. Suggested extensions</t>
  </si>
  <si>
    <t xml:space="preserve">- Add Power Query / PivotTables and slicers for category and month.</t>
  </si>
  <si>
    <t xml:space="preserve">- Run a t-test on weekend vs weekday views, or compare thumbnails / title styles.</t>
  </si>
  <si>
    <t xml:space="preserve">- Add competitor benchmarking and cohort analysis of subscribers gained per upload.</t>
  </si>
  <si>
    <t xml:space="preserve">YouTube Audience &amp; Content Analysis Dashboard</t>
  </si>
  <si>
    <t xml:space="preserve">Sample dataset: 144 videos, Sep 2025 - Aug 2026 (illustrative). All tiles and charts are formula-driven.</t>
  </si>
  <si>
    <t xml:space="preserve">Total Videos</t>
  </si>
  <si>
    <t xml:space="preserve">Total Views</t>
  </si>
  <si>
    <t xml:space="preserve">Watch Hours</t>
  </si>
  <si>
    <t xml:space="preserve">Subscribers Gained</t>
  </si>
  <si>
    <t xml:space="preserve">Avg Views / Video</t>
  </si>
  <si>
    <t xml:space="preserve">Overall CTR</t>
  </si>
  <si>
    <t xml:space="preserve">Engagement Rate</t>
  </si>
  <si>
    <t xml:space="preserve">Top Category (avg views)</t>
  </si>
  <si>
    <t xml:space="preserve">Key Insights &amp; Recommendations</t>
  </si>
  <si>
    <t xml:space="preserve">Every finding below is a live formula, so it updates automatically if the data changes.</t>
  </si>
  <si>
    <t xml:space="preserve">#</t>
  </si>
  <si>
    <t xml:space="preserve">Question</t>
  </si>
  <si>
    <t xml:space="preserve">Finding</t>
  </si>
  <si>
    <t xml:space="preserve">Key Metric</t>
  </si>
  <si>
    <t xml:space="preserve">Value</t>
  </si>
  <si>
    <t xml:space="preserve">Which content category earns the most views per video?</t>
  </si>
  <si>
    <t xml:space="preserve">Avg views per video</t>
  </si>
  <si>
    <t xml:space="preserve">Which category has the highest engagement rate?</t>
  </si>
  <si>
    <t xml:space="preserve">Engagement rate</t>
  </si>
  <si>
    <t xml:space="preserve">Which category converts viewers into subscribers best?</t>
  </si>
  <si>
    <t xml:space="preserve">Sub conversion</t>
  </si>
  <si>
    <t xml:space="preserve">Which publishing day gives the highest avg views?</t>
  </si>
  <si>
    <t xml:space="preserve">Do weekend or weekday uploads perform better?</t>
  </si>
  <si>
    <t xml:space="preserve">Lift over the other group</t>
  </si>
  <si>
    <t xml:space="preserve">Which long-form video length gets the most avg views?</t>
  </si>
  <si>
    <t xml:space="preserve">Which format gets more avg views: Long-form or Short?</t>
  </si>
  <si>
    <t xml:space="preserve">Which format drives most watch time?</t>
  </si>
  <si>
    <t xml:space="preserve">Share of total watch hours</t>
  </si>
  <si>
    <t xml:space="preserve">What is the largest traffic source?</t>
  </si>
  <si>
    <t xml:space="preserve">Share of views</t>
  </si>
  <si>
    <t xml:space="preserve">Which age group watches the most?</t>
  </si>
  <si>
    <t xml:space="preserve">Which country brings the most views?</t>
  </si>
  <si>
    <t xml:space="preserve">Which device is used most?</t>
  </si>
  <si>
    <t xml:space="preserve">Which gender forms the majority of the audience?</t>
  </si>
  <si>
    <t xml:space="preserve">Is the channel growing? (last 3 vs first 3 months, avg monthly views)</t>
  </si>
  <si>
    <t xml:space="preserve">Change in avg monthly views</t>
  </si>
  <si>
    <t xml:space="preserve">What does the linear trend project for next month?</t>
  </si>
  <si>
    <t xml:space="preserve">Forecast views</t>
  </si>
  <si>
    <t xml:space="preserve">Recommendations (auto-generated from the findings above)</t>
  </si>
  <si>
    <t xml:space="preserve">Limitations</t>
  </si>
  <si>
    <t xml:space="preserve">1. The dataset is a simulated sample of 144 videos (Sep 2025 - Aug 2026) built for this project, not real channel data. Replace Videos_Data and Audience_Data with a YouTube Studio export to analyse a real channel.</t>
  </si>
  <si>
    <t xml:space="preserve">2. CTR is approximated as Views / Impressions. YouTube's official impression CTR uses clicks on impressions and will differ slightly.</t>
  </si>
  <si>
    <t xml:space="preserve">3. Correlation shows association, not causation. Averages are sensitive to viral outliers, so compare with the median in Stats_Correlation.</t>
  </si>
  <si>
    <t xml:space="preserve">4. Audience segment tables are illustrative inputs and are not reconciled to video-level watch time.</t>
  </si>
  <si>
    <t xml:space="preserve">Video ID</t>
  </si>
  <si>
    <t xml:space="preserve">Title</t>
  </si>
  <si>
    <t xml:space="preserve">Category</t>
  </si>
  <si>
    <t xml:space="preserve">Format</t>
  </si>
  <si>
    <t xml:space="preserve">Publish Date</t>
  </si>
  <si>
    <t xml:space="preserve">Duration (min)</t>
  </si>
  <si>
    <t xml:space="preserve">Impressions</t>
  </si>
  <si>
    <t xml:space="preserve">Views</t>
  </si>
  <si>
    <t xml:space="preserve">Likes</t>
  </si>
  <si>
    <t xml:space="preserve">Comments</t>
  </si>
  <si>
    <t xml:space="preserve">Shares</t>
  </si>
  <si>
    <t xml:space="preserve">Watch Time (hrs)</t>
  </si>
  <si>
    <t xml:space="preserve">Month</t>
  </si>
  <si>
    <t xml:space="preserve">Day of Week</t>
  </si>
  <si>
    <t xml:space="preserve">CTR (Views / Impr.)</t>
  </si>
  <si>
    <t xml:space="preserve">Avg View Duration (min)</t>
  </si>
  <si>
    <t xml:space="preserve">Avg % Viewed</t>
  </si>
  <si>
    <t xml:space="preserve">Sub Conversion</t>
  </si>
  <si>
    <t xml:space="preserve">Duration Bucket</t>
  </si>
  <si>
    <t xml:space="preserve">Weekend / Weekday</t>
  </si>
  <si>
    <t xml:space="preserve">V001</t>
  </si>
  <si>
    <t xml:space="preserve">Business Analyst Salary and Career Path in India</t>
  </si>
  <si>
    <t xml:space="preserve">Career Guidance</t>
  </si>
  <si>
    <t xml:space="preserve">Long-form</t>
  </si>
  <si>
    <t xml:space="preserve">V002</t>
  </si>
  <si>
    <t xml:space="preserve">SIP Explained for Beginners</t>
  </si>
  <si>
    <t xml:space="preserve">Finance &amp; Investing</t>
  </si>
  <si>
    <t xml:space="preserve">V003</t>
  </si>
  <si>
    <t xml:space="preserve">Nykaa SWOT Analysis for BBA Students</t>
  </si>
  <si>
    <t xml:space="preserve">Business Explainers</t>
  </si>
  <si>
    <t xml:space="preserve">V004</t>
  </si>
  <si>
    <t xml:space="preserve">Budgeting in 60 Seconds</t>
  </si>
  <si>
    <t xml:space="preserve">Short</t>
  </si>
  <si>
    <t xml:space="preserve">V005</t>
  </si>
  <si>
    <t xml:space="preserve">Budgeting: Common Mistakes to Avoid</t>
  </si>
  <si>
    <t xml:space="preserve">V006</t>
  </si>
  <si>
    <t xml:space="preserve">Compound Interest Explained for Beginners</t>
  </si>
  <si>
    <t xml:space="preserve">V007</t>
  </si>
  <si>
    <t xml:space="preserve">Notion for Students: Step-by-Step</t>
  </si>
  <si>
    <t xml:space="preserve">Excel &amp; Tech Tutorials</t>
  </si>
  <si>
    <t xml:space="preserve">V008</t>
  </si>
  <si>
    <t xml:space="preserve">Budgeting Explained for Beginners</t>
  </si>
  <si>
    <t xml:space="preserve">V009</t>
  </si>
  <si>
    <t xml:space="preserve">3 Quick Tips: Notion</t>
  </si>
  <si>
    <t xml:space="preserve">V010</t>
  </si>
  <si>
    <t xml:space="preserve">3 Quick Tips: Google Sheets</t>
  </si>
  <si>
    <t xml:space="preserve">V011</t>
  </si>
  <si>
    <t xml:space="preserve">Canva Beginner Tutorial</t>
  </si>
  <si>
    <t xml:space="preserve">V012</t>
  </si>
  <si>
    <t xml:space="preserve">Excel IF Formulas Tutorial</t>
  </si>
  <si>
    <t xml:space="preserve">V013</t>
  </si>
  <si>
    <t xml:space="preserve">AI Tools for Students: Step-by-Step</t>
  </si>
  <si>
    <t xml:space="preserve">V014</t>
  </si>
  <si>
    <t xml:space="preserve">Excel Macros Basics: Practical Examples</t>
  </si>
  <si>
    <t xml:space="preserve">V015</t>
  </si>
  <si>
    <t xml:space="preserve">Data Analyst Salary and Career Path in India</t>
  </si>
  <si>
    <t xml:space="preserve">V016</t>
  </si>
  <si>
    <t xml:space="preserve">Management Trainee Interview Questions and Answers</t>
  </si>
  <si>
    <t xml:space="preserve">V017</t>
  </si>
  <si>
    <t xml:space="preserve">3 Quick Tips: Macros Basics</t>
  </si>
  <si>
    <t xml:space="preserve">V018</t>
  </si>
  <si>
    <t xml:space="preserve">Conditional Formatting in 60 Seconds</t>
  </si>
  <si>
    <t xml:space="preserve">V019</t>
  </si>
  <si>
    <t xml:space="preserve">Excel Dashboards: Practical Examples</t>
  </si>
  <si>
    <t xml:space="preserve">V020</t>
  </si>
  <si>
    <t xml:space="preserve">Excel Charts: Practical Examples</t>
  </si>
  <si>
    <t xml:space="preserve">V021</t>
  </si>
  <si>
    <t xml:space="preserve">Excel Power Query: Practical Examples</t>
  </si>
  <si>
    <t xml:space="preserve">V022</t>
  </si>
  <si>
    <t xml:space="preserve">Power BI Beginner Tutorial</t>
  </si>
  <si>
    <t xml:space="preserve">V023</t>
  </si>
  <si>
    <t xml:space="preserve">3 Quick Tips: Credit Score</t>
  </si>
  <si>
    <t xml:space="preserve">V024</t>
  </si>
  <si>
    <t xml:space="preserve">Operations Executive Salary and Career Path in India</t>
  </si>
  <si>
    <t xml:space="preserve">V025</t>
  </si>
  <si>
    <t xml:space="preserve">Exam Week Vlog: Semester 3</t>
  </si>
  <si>
    <t xml:space="preserve">Campus Vlogs</t>
  </si>
  <si>
    <t xml:space="preserve">V026</t>
  </si>
  <si>
    <t xml:space="preserve">SIP: Common Mistakes to Avoid</t>
  </si>
  <si>
    <t xml:space="preserve">V027</t>
  </si>
  <si>
    <t xml:space="preserve">3 Quick Tips: Product Manager</t>
  </si>
  <si>
    <t xml:space="preserve">V028</t>
  </si>
  <si>
    <t xml:space="preserve">Flipkart: Marketing Strategy Explained</t>
  </si>
  <si>
    <t xml:space="preserve">V029</t>
  </si>
  <si>
    <t xml:space="preserve">Product Manager Interview Questions and Answers</t>
  </si>
  <si>
    <t xml:space="preserve">V030</t>
  </si>
  <si>
    <t xml:space="preserve">Notion in 60 Seconds</t>
  </si>
  <si>
    <t xml:space="preserve">V031</t>
  </si>
  <si>
    <t xml:space="preserve">Stock Market Basics Explained for Beginners</t>
  </si>
  <si>
    <t xml:space="preserve">V032</t>
  </si>
  <si>
    <t xml:space="preserve">How to Become a Operations Executive After BBA</t>
  </si>
  <si>
    <t xml:space="preserve">V033</t>
  </si>
  <si>
    <t xml:space="preserve">Excel Data Validation Tutorial</t>
  </si>
  <si>
    <t xml:space="preserve">V034</t>
  </si>
  <si>
    <t xml:space="preserve">Excel Pivot Tables Tutorial</t>
  </si>
  <si>
    <t xml:space="preserve">V035</t>
  </si>
  <si>
    <t xml:space="preserve">Mamaearth in 60 Seconds</t>
  </si>
  <si>
    <t xml:space="preserve">V036</t>
  </si>
  <si>
    <t xml:space="preserve">How to Become a Management Trainee After BBA</t>
  </si>
  <si>
    <t xml:space="preserve">V037</t>
  </si>
  <si>
    <t xml:space="preserve">Data Analyst Resume Tips for Freshers</t>
  </si>
  <si>
    <t xml:space="preserve">V038</t>
  </si>
  <si>
    <t xml:space="preserve">Infosys: Marketing Strategy Explained</t>
  </si>
  <si>
    <t xml:space="preserve">V039</t>
  </si>
  <si>
    <t xml:space="preserve">Index Funds Explained for Beginners</t>
  </si>
  <si>
    <t xml:space="preserve">V040</t>
  </si>
  <si>
    <t xml:space="preserve">Excel INDEX MATCH Tutorial</t>
  </si>
  <si>
    <t xml:space="preserve">V041</t>
  </si>
  <si>
    <t xml:space="preserve">Dabur: Marketing Strategy Explained</t>
  </si>
  <si>
    <t xml:space="preserve">V042</t>
  </si>
  <si>
    <t xml:space="preserve">PPF vs FD: Common Mistakes to Avoid</t>
  </si>
  <si>
    <t xml:space="preserve">V043</t>
  </si>
  <si>
    <t xml:space="preserve">Alumni Talk: Careers in Fintech</t>
  </si>
  <si>
    <t xml:space="preserve">Interviews &amp; Podcasts</t>
  </si>
  <si>
    <t xml:space="preserve">V044</t>
  </si>
  <si>
    <t xml:space="preserve">3 Quick Tips: IF Formulas</t>
  </si>
  <si>
    <t xml:space="preserve">V045</t>
  </si>
  <si>
    <t xml:space="preserve">Management Trainee Resume Tips for Freshers</t>
  </si>
  <si>
    <t xml:space="preserve">V046</t>
  </si>
  <si>
    <t xml:space="preserve">3 Quick Tips: Power BI</t>
  </si>
  <si>
    <t xml:space="preserve">V047</t>
  </si>
  <si>
    <t xml:space="preserve">Maruti Suzuki in 60 Seconds</t>
  </si>
  <si>
    <t xml:space="preserve">V048</t>
  </si>
  <si>
    <t xml:space="preserve">Operations Executive Resume Tips for Freshers</t>
  </si>
  <si>
    <t xml:space="preserve">V049</t>
  </si>
  <si>
    <t xml:space="preserve">Emergency Fund: Common Mistakes to Avoid</t>
  </si>
  <si>
    <t xml:space="preserve">V050</t>
  </si>
  <si>
    <t xml:space="preserve">Tax Saving Explained for Beginners</t>
  </si>
  <si>
    <t xml:space="preserve">V051</t>
  </si>
  <si>
    <t xml:space="preserve">Data Analyst in 60 Seconds</t>
  </si>
  <si>
    <t xml:space="preserve">V052</t>
  </si>
  <si>
    <t xml:space="preserve">Dabur: Business Model in 10 Minutes</t>
  </si>
  <si>
    <t xml:space="preserve">V053</t>
  </si>
  <si>
    <t xml:space="preserve">Google Sheets for Students: Step-by-Step</t>
  </si>
  <si>
    <t xml:space="preserve">V054</t>
  </si>
  <si>
    <t xml:space="preserve">3 Quick Tips: Stock Market Basics</t>
  </si>
  <si>
    <t xml:space="preserve">V055</t>
  </si>
  <si>
    <t xml:space="preserve">Inflation Explained for Beginners</t>
  </si>
  <si>
    <t xml:space="preserve">V056</t>
  </si>
  <si>
    <t xml:space="preserve">Interview with a Data Analyst</t>
  </si>
  <si>
    <t xml:space="preserve">V057</t>
  </si>
  <si>
    <t xml:space="preserve">Management Trainee Salary and Career Path in India</t>
  </si>
  <si>
    <t xml:space="preserve">V058</t>
  </si>
  <si>
    <t xml:space="preserve">Tax Saving: Common Mistakes to Avoid</t>
  </si>
  <si>
    <t xml:space="preserve">V059</t>
  </si>
  <si>
    <t xml:space="preserve">3 Quick Tips: AI Tools</t>
  </si>
  <si>
    <t xml:space="preserve">V060</t>
  </si>
  <si>
    <t xml:space="preserve">Consultant Interview Questions and Answers</t>
  </si>
  <si>
    <t xml:space="preserve">V061</t>
  </si>
  <si>
    <t xml:space="preserve">Consultant Salary and Career Path in India</t>
  </si>
  <si>
    <t xml:space="preserve">V062</t>
  </si>
  <si>
    <t xml:space="preserve">Interview with a MBA Topper</t>
  </si>
  <si>
    <t xml:space="preserve">V063</t>
  </si>
  <si>
    <t xml:space="preserve">Financial Ratios Explained for Beginners</t>
  </si>
  <si>
    <t xml:space="preserve">V064</t>
  </si>
  <si>
    <t xml:space="preserve">Excel Pivot Tables: Practical Examples</t>
  </si>
  <si>
    <t xml:space="preserve">V065</t>
  </si>
  <si>
    <t xml:space="preserve">IF Formulas in 60 Seconds</t>
  </si>
  <si>
    <t xml:space="preserve">V066</t>
  </si>
  <si>
    <t xml:space="preserve">3 Quick Tips: Canva</t>
  </si>
  <si>
    <t xml:space="preserve">V067</t>
  </si>
  <si>
    <t xml:space="preserve">Marketing Executive Interview Questions and Answers</t>
  </si>
  <si>
    <t xml:space="preserve">V068</t>
  </si>
  <si>
    <t xml:space="preserve">Charts in 60 Seconds</t>
  </si>
  <si>
    <t xml:space="preserve">V069</t>
  </si>
  <si>
    <t xml:space="preserve">Interview with a Chartered Accountant</t>
  </si>
  <si>
    <t xml:space="preserve">V070</t>
  </si>
  <si>
    <t xml:space="preserve">Product Manager Resume Tips for Freshers</t>
  </si>
  <si>
    <t xml:space="preserve">V071</t>
  </si>
  <si>
    <t xml:space="preserve">Insurance: Common Mistakes to Avoid</t>
  </si>
  <si>
    <t xml:space="preserve">V072</t>
  </si>
  <si>
    <t xml:space="preserve">Excel Data Cleaning: Practical Examples</t>
  </si>
  <si>
    <t xml:space="preserve">V073</t>
  </si>
  <si>
    <t xml:space="preserve">Business Analyst Interview Questions and Answers</t>
  </si>
  <si>
    <t xml:space="preserve">V074</t>
  </si>
  <si>
    <t xml:space="preserve">Power Query in 60 Seconds</t>
  </si>
  <si>
    <t xml:space="preserve">V075</t>
  </si>
  <si>
    <t xml:space="preserve">Exam Week Vlog: Semester 5</t>
  </si>
  <si>
    <t xml:space="preserve">V076</t>
  </si>
  <si>
    <t xml:space="preserve">Paytm SWOT Analysis for BBA Students</t>
  </si>
  <si>
    <t xml:space="preserve">V077</t>
  </si>
  <si>
    <t xml:space="preserve">Swiggy: Business Model in 10 Minutes</t>
  </si>
  <si>
    <t xml:space="preserve">V078</t>
  </si>
  <si>
    <t xml:space="preserve">PPF vs FD Explained for Beginners</t>
  </si>
  <si>
    <t xml:space="preserve">V079</t>
  </si>
  <si>
    <t xml:space="preserve">Excel Conditional Formatting Tutorial</t>
  </si>
  <si>
    <t xml:space="preserve">V080</t>
  </si>
  <si>
    <t xml:space="preserve">Operations Executive Interview Questions and Answers</t>
  </si>
  <si>
    <t xml:space="preserve">V081</t>
  </si>
  <si>
    <t xml:space="preserve">AI Tools Beginner Tutorial</t>
  </si>
  <si>
    <t xml:space="preserve">V082</t>
  </si>
  <si>
    <t xml:space="preserve">3 Quick Tips: Maruti Suzuki</t>
  </si>
  <si>
    <t xml:space="preserve">V083</t>
  </si>
  <si>
    <t xml:space="preserve">Excel Dashboards Tutorial</t>
  </si>
  <si>
    <t xml:space="preserve">V084</t>
  </si>
  <si>
    <t xml:space="preserve">Amul in 60 Seconds</t>
  </si>
  <si>
    <t xml:space="preserve">V085</t>
  </si>
  <si>
    <t xml:space="preserve">Tata Motors in 60 Seconds</t>
  </si>
  <si>
    <t xml:space="preserve">V086</t>
  </si>
  <si>
    <t xml:space="preserve">HR Executive in 60 Seconds</t>
  </si>
  <si>
    <t xml:space="preserve">V087</t>
  </si>
  <si>
    <t xml:space="preserve">Why Nykaa Succeeded: Case Study</t>
  </si>
  <si>
    <t xml:space="preserve">V088</t>
  </si>
  <si>
    <t xml:space="preserve">How to Become a Data Analyst After BBA</t>
  </si>
  <si>
    <t xml:space="preserve">V089</t>
  </si>
  <si>
    <t xml:space="preserve">How to Become a Marketing Executive After BBA</t>
  </si>
  <si>
    <t xml:space="preserve">V090</t>
  </si>
  <si>
    <t xml:space="preserve">Hindustan Unilever SWOT Analysis for BBA Students</t>
  </si>
  <si>
    <t xml:space="preserve">V091</t>
  </si>
  <si>
    <t xml:space="preserve">Marketing Executive Salary and Career Path in India</t>
  </si>
  <si>
    <t xml:space="preserve">V092</t>
  </si>
  <si>
    <t xml:space="preserve">Why Tata Motors Succeeded: Case Study</t>
  </si>
  <si>
    <t xml:space="preserve">V093</t>
  </si>
  <si>
    <t xml:space="preserve">Campus Placement Season Vlog 1</t>
  </si>
  <si>
    <t xml:space="preserve">V094</t>
  </si>
  <si>
    <t xml:space="preserve">Why Hindustan Unilever Succeeded: Case Study</t>
  </si>
  <si>
    <t xml:space="preserve">V095</t>
  </si>
  <si>
    <t xml:space="preserve">Credit Score in 60 Seconds</t>
  </si>
  <si>
    <t xml:space="preserve">V096</t>
  </si>
  <si>
    <t xml:space="preserve">Compound Interest: Common Mistakes to Avoid</t>
  </si>
  <si>
    <t xml:space="preserve">V097</t>
  </si>
  <si>
    <t xml:space="preserve">Excel Data Validation: Practical Examples</t>
  </si>
  <si>
    <t xml:space="preserve">V098</t>
  </si>
  <si>
    <t xml:space="preserve">How to Become a Financial Analyst After BBA</t>
  </si>
  <si>
    <t xml:space="preserve">V099</t>
  </si>
  <si>
    <t xml:space="preserve">Titan in 60 Seconds</t>
  </si>
  <si>
    <t xml:space="preserve">V100</t>
  </si>
  <si>
    <t xml:space="preserve">Product Manager Salary and Career Path in India</t>
  </si>
  <si>
    <t xml:space="preserve">V101</t>
  </si>
  <si>
    <t xml:space="preserve">Alumni Talk: Careers in Banking</t>
  </si>
  <si>
    <t xml:space="preserve">V102</t>
  </si>
  <si>
    <t xml:space="preserve">Excel Power Query Tutorial</t>
  </si>
  <si>
    <t xml:space="preserve">V103</t>
  </si>
  <si>
    <t xml:space="preserve">Cryptocurrency: Common Mistakes to Avoid</t>
  </si>
  <si>
    <t xml:space="preserve">V104</t>
  </si>
  <si>
    <t xml:space="preserve">3 Quick Tips: HR Executive</t>
  </si>
  <si>
    <t xml:space="preserve">V105</t>
  </si>
  <si>
    <t xml:space="preserve">Credit Score Explained for Beginners</t>
  </si>
  <si>
    <t xml:space="preserve">V106</t>
  </si>
  <si>
    <t xml:space="preserve">Why Mamaearth Succeeded: Case Study</t>
  </si>
  <si>
    <t xml:space="preserve">V107</t>
  </si>
  <si>
    <t xml:space="preserve">3 Quick Tips: Swiggy</t>
  </si>
  <si>
    <t xml:space="preserve">V108</t>
  </si>
  <si>
    <t xml:space="preserve">Infosys SWOT Analysis for BBA Students</t>
  </si>
  <si>
    <t xml:space="preserve">V109</t>
  </si>
  <si>
    <t xml:space="preserve">3 Quick Tips: Insurance</t>
  </si>
  <si>
    <t xml:space="preserve">V110</t>
  </si>
  <si>
    <t xml:space="preserve">Credit Score: Common Mistakes to Avoid</t>
  </si>
  <si>
    <t xml:space="preserve">V111</t>
  </si>
  <si>
    <t xml:space="preserve">3 Quick Tips: Financial Ratios</t>
  </si>
  <si>
    <t xml:space="preserve">V112</t>
  </si>
  <si>
    <t xml:space="preserve">Why Maruti Suzuki Succeeded: Case Study</t>
  </si>
  <si>
    <t xml:space="preserve">V113</t>
  </si>
  <si>
    <t xml:space="preserve">Financial Analyst Salary and Career Path in India</t>
  </si>
  <si>
    <t xml:space="preserve">V114</t>
  </si>
  <si>
    <t xml:space="preserve">Inflation: Common Mistakes to Avoid</t>
  </si>
  <si>
    <t xml:space="preserve">V115</t>
  </si>
  <si>
    <t xml:space="preserve">Campus Placement Season Vlog 3</t>
  </si>
  <si>
    <t xml:space="preserve">V116</t>
  </si>
  <si>
    <t xml:space="preserve">Business Analyst in 60 Seconds</t>
  </si>
  <si>
    <t xml:space="preserve">V117</t>
  </si>
  <si>
    <t xml:space="preserve">Cryptocurrency Explained for Beginners</t>
  </si>
  <si>
    <t xml:space="preserve">V118</t>
  </si>
  <si>
    <t xml:space="preserve">A Day in My BBA Life: Semester 6</t>
  </si>
  <si>
    <t xml:space="preserve">V119</t>
  </si>
  <si>
    <t xml:space="preserve">Excel VLOOKUP Tutorial</t>
  </si>
  <si>
    <t xml:space="preserve">V120</t>
  </si>
  <si>
    <t xml:space="preserve">Emergency Fund Explained for Beginners</t>
  </si>
  <si>
    <t xml:space="preserve">V121</t>
  </si>
  <si>
    <t xml:space="preserve">Hindustan Unilever: Marketing Strategy Explained</t>
  </si>
  <si>
    <t xml:space="preserve">V122</t>
  </si>
  <si>
    <t xml:space="preserve">VLOOKUP in 60 Seconds</t>
  </si>
  <si>
    <t xml:space="preserve">V123</t>
  </si>
  <si>
    <t xml:space="preserve">3 Quick Tips: Marketing Executive</t>
  </si>
  <si>
    <t xml:space="preserve">V124</t>
  </si>
  <si>
    <t xml:space="preserve">Sales Manager Salary and Career Path in India</t>
  </si>
  <si>
    <t xml:space="preserve">V125</t>
  </si>
  <si>
    <t xml:space="preserve">Financial Analyst in 60 Seconds</t>
  </si>
  <si>
    <t xml:space="preserve">V126</t>
  </si>
  <si>
    <t xml:space="preserve">Sales Manager Interview Questions and Answers</t>
  </si>
  <si>
    <t xml:space="preserve">V127</t>
  </si>
  <si>
    <t xml:space="preserve">Excel VLOOKUP: Practical Examples</t>
  </si>
  <si>
    <t xml:space="preserve">V128</t>
  </si>
  <si>
    <t xml:space="preserve">Paytm: Marketing Strategy Explained</t>
  </si>
  <si>
    <t xml:space="preserve">V129</t>
  </si>
  <si>
    <t xml:space="preserve">Financial Analyst Resume Tips for Freshers</t>
  </si>
  <si>
    <t xml:space="preserve">V130</t>
  </si>
  <si>
    <t xml:space="preserve">Sales Manager Resume Tips for Freshers</t>
  </si>
  <si>
    <t xml:space="preserve">V131</t>
  </si>
  <si>
    <t xml:space="preserve">Why Titan Succeeded: Case Study</t>
  </si>
  <si>
    <t xml:space="preserve">V132</t>
  </si>
  <si>
    <t xml:space="preserve">How to Become a Product Manager After BBA</t>
  </si>
  <si>
    <t xml:space="preserve">V133</t>
  </si>
  <si>
    <t xml:space="preserve">HR Executive Salary and Career Path in India</t>
  </si>
  <si>
    <t xml:space="preserve">V134</t>
  </si>
  <si>
    <t xml:space="preserve">HR Executive Resume Tips for Freshers</t>
  </si>
  <si>
    <t xml:space="preserve">V135</t>
  </si>
  <si>
    <t xml:space="preserve">AI Tools in 60 Seconds</t>
  </si>
  <si>
    <t xml:space="preserve">V136</t>
  </si>
  <si>
    <t xml:space="preserve">Excel IF Formulas: Practical Examples</t>
  </si>
  <si>
    <t xml:space="preserve">V137</t>
  </si>
  <si>
    <t xml:space="preserve">Data Analyst Interview Questions and Answers</t>
  </si>
  <si>
    <t xml:space="preserve">V138</t>
  </si>
  <si>
    <t xml:space="preserve">boAt: Marketing Strategy Explained</t>
  </si>
  <si>
    <t xml:space="preserve">V139</t>
  </si>
  <si>
    <t xml:space="preserve">boAt SWOT Analysis for BBA Students</t>
  </si>
  <si>
    <t xml:space="preserve">V140</t>
  </si>
  <si>
    <t xml:space="preserve">Alumni Talk: Careers in Retail</t>
  </si>
  <si>
    <t xml:space="preserve">V141</t>
  </si>
  <si>
    <t xml:space="preserve">Dashboards in 60 Seconds</t>
  </si>
  <si>
    <t xml:space="preserve">V142</t>
  </si>
  <si>
    <t xml:space="preserve">Hindustan Unilever: Business Model in 10 Minutes</t>
  </si>
  <si>
    <t xml:space="preserve">V143</t>
  </si>
  <si>
    <t xml:space="preserve">3 Quick Tips: Data Analyst</t>
  </si>
  <si>
    <t xml:space="preserve">V144</t>
  </si>
  <si>
    <t xml:space="preserve">Mutual Funds Explained for Beginners</t>
  </si>
  <si>
    <t xml:space="preserve">Audience Data &amp; Analysis</t>
  </si>
  <si>
    <t xml:space="preserve">Blue cells on yellow = illustrative inputs (replace with YouTube Studio &gt; Analytics &gt; Audience data). Est. Views = share x total views from Videos_Data.</t>
  </si>
  <si>
    <t xml:space="preserve">Total channel views (from Videos_Data)</t>
  </si>
  <si>
    <t xml:space="preserve">1. Age group x gender (share of views)</t>
  </si>
  <si>
    <t xml:space="preserve">Age Group</t>
  </si>
  <si>
    <t xml:space="preserve">Male</t>
  </si>
  <si>
    <t xml:space="preserve">Female</t>
  </si>
  <si>
    <t xml:space="preserve">Other</t>
  </si>
  <si>
    <t xml:space="preserve">Total Share</t>
  </si>
  <si>
    <t xml:space="preserve">Est. Views</t>
  </si>
  <si>
    <t xml:space="preserve">Est. Watch Hours</t>
  </si>
  <si>
    <t xml:space="preserve">Share of Watch Time</t>
  </si>
  <si>
    <t xml:space="preserve">13-17</t>
  </si>
  <si>
    <t xml:space="preserve">18-24</t>
  </si>
  <si>
    <t xml:space="preserve">25-34</t>
  </si>
  <si>
    <t xml:space="preserve">35-44</t>
  </si>
  <si>
    <t xml:space="preserve">45-54</t>
  </si>
  <si>
    <t xml:space="preserve">55+</t>
  </si>
  <si>
    <t xml:space="preserve">Total</t>
  </si>
  <si>
    <t xml:space="preserve">2. Gender split (derived from the matrix above)</t>
  </si>
  <si>
    <t xml:space="preserve">Gender</t>
  </si>
  <si>
    <t xml:space="preserve">Share of Views</t>
  </si>
  <si>
    <t xml:space="preserve">3. Geography (top countries)</t>
  </si>
  <si>
    <t xml:space="preserve">Country</t>
  </si>
  <si>
    <t xml:space="preserve">India</t>
  </si>
  <si>
    <t xml:space="preserve">USA</t>
  </si>
  <si>
    <t xml:space="preserve">UK</t>
  </si>
  <si>
    <t xml:space="preserve">UAE</t>
  </si>
  <si>
    <t xml:space="preserve">Canada</t>
  </si>
  <si>
    <t xml:space="preserve">Other countries</t>
  </si>
  <si>
    <t xml:space="preserve">4. Device type</t>
  </si>
  <si>
    <t xml:space="preserve">Device</t>
  </si>
  <si>
    <t xml:space="preserve">Mobile</t>
  </si>
  <si>
    <t xml:space="preserve">Desktop</t>
  </si>
  <si>
    <t xml:space="preserve">TV</t>
  </si>
  <si>
    <t xml:space="preserve">Tablet</t>
  </si>
  <si>
    <t xml:space="preserve">5. Traffic source</t>
  </si>
  <si>
    <t xml:space="preserve">Traffic Source</t>
  </si>
  <si>
    <t xml:space="preserve">Suggested videos</t>
  </si>
  <si>
    <t xml:space="preserve">YouTube search</t>
  </si>
  <si>
    <t xml:space="preserve">Browse features</t>
  </si>
  <si>
    <t xml:space="preserve">Shorts feed</t>
  </si>
  <si>
    <t xml:space="preserve">External</t>
  </si>
  <si>
    <t xml:space="preserve">Direct / unknown</t>
  </si>
  <si>
    <t xml:space="preserve">Notifications</t>
  </si>
  <si>
    <t xml:space="preserve">Assumption: shares and segment-level average view durations are illustrative inputs (not reconciled to video-level watch time). Replace with your channel's YouTube Studio exports.</t>
  </si>
  <si>
    <t xml:space="preserve">Content Analysis</t>
  </si>
  <si>
    <t xml:space="preserve">All figures are live formulas over Videos_Data. Green = higher avg views, blue = higher engagement.</t>
  </si>
  <si>
    <t xml:space="preserve">1. Performance by content category</t>
  </si>
  <si>
    <t xml:space="preserve">Videos</t>
  </si>
  <si>
    <t xml:space="preserve">Total Watch Hours</t>
  </si>
  <si>
    <t xml:space="preserve">Subs Gained</t>
  </si>
  <si>
    <t xml:space="preserve">Rank (Avg Views)</t>
  </si>
  <si>
    <t xml:space="preserve">Total / Overall</t>
  </si>
  <si>
    <t xml:space="preserve">Caution: categories with fewer than ~10 videos (small samples) can swing on one or two videos; treat their averages as indicative only.</t>
  </si>
  <si>
    <t xml:space="preserve">2. Long-form vs Shorts</t>
  </si>
  <si>
    <t xml:space="preserve">3. Performance by video duration</t>
  </si>
  <si>
    <t xml:space="preserve">Under 1 min</t>
  </si>
  <si>
    <t xml:space="preserve">1-5 min</t>
  </si>
  <si>
    <t xml:space="preserve">5-10 min</t>
  </si>
  <si>
    <t xml:space="preserve">10-20 min</t>
  </si>
  <si>
    <t xml:space="preserve">20+ min</t>
  </si>
  <si>
    <t xml:space="preserve">Timing &amp; Trend Analysis</t>
  </si>
  <si>
    <t xml:space="preserve">When to publish, and how the channel is growing month by month.</t>
  </si>
  <si>
    <t xml:space="preserve">1. Performance by publishing day</t>
  </si>
  <si>
    <t xml:space="preserve">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</si>
  <si>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</si>
  <si>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</si>
  <si>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</si>
  <si>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</si>
  <si>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</si>
  <si>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</si>
  <si>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</si>
  <si>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2. Weekend vs weekday</t>
  </si>
  <si>
    <t xml:space="preserve">Period</t>
  </si>
  <si>
    <t xml:space="preserve">Weekday</t>
  </si>
  <si>
    <t xml:space="preserve">Weekend</t>
  </si>
  <si>
    <t xml:space="preserve">3. Monthly channel trend</t>
  </si>
  <si>
    <t xml:space="preserve">Subscribers at start of period (assumption)</t>
  </si>
  <si>
    <t xml:space="preserve">Label</t>
  </si>
  <si>
    <t xml:space="preserve">MoM Views Growth</t>
  </si>
  <si>
    <t xml:space="preserve">Cumulative Subscribers</t>
  </si>
  <si>
    <t xml:space="preserve">Trend Index</t>
  </si>
  <si>
    <t xml:space="preserve">4. Linear trend forecast of monthly views (indicative only)</t>
  </si>
  <si>
    <t xml:space="preserve">Forecast Views</t>
  </si>
  <si>
    <t xml:space="preserve">Trend slope (views added per month)</t>
  </si>
  <si>
    <t xml:space="preserve">R-squared of trend line</t>
  </si>
  <si>
    <t xml:space="preserve">Top &amp; Bottom Performers</t>
  </si>
  <si>
    <t xml:space="preserve">Ranked with LARGE / SMALL and pulled back with INDEX / MATCH (view counts are unique in the dataset).</t>
  </si>
  <si>
    <t xml:space="preserve">1. Top 10 videos by views</t>
  </si>
  <si>
    <t xml:space="preserve">Rank</t>
  </si>
  <si>
    <t xml:space="preserve">Data Row</t>
  </si>
  <si>
    <t xml:space="preserve">CTR</t>
  </si>
  <si>
    <t xml:space="preserve">2. Top 10 videos by engagement rate</t>
  </si>
  <si>
    <t xml:space="preserve">3. Bottom 5 videos by views</t>
  </si>
  <si>
    <t xml:space="preserve">Statistics, Correlation &amp; Regression</t>
  </si>
  <si>
    <t xml:space="preserve">Descriptive statistics and relationships across all videos (Shorts + Long-form).</t>
  </si>
  <si>
    <t xml:space="preserve">1. Descriptive statistics</t>
  </si>
  <si>
    <t xml:space="preserve">Metric</t>
  </si>
  <si>
    <t xml:space="preserve">Mean</t>
  </si>
  <si>
    <t xml:space="preserve">Median</t>
  </si>
  <si>
    <t xml:space="preserve">Std Dev</t>
  </si>
  <si>
    <t xml:space="preserve">Min</t>
  </si>
  <si>
    <t xml:space="preserve">Max</t>
  </si>
  <si>
    <t xml:space="preserve">Coeff. of Variation</t>
  </si>
  <si>
    <t xml:space="preserve">Skewness</t>
  </si>
  <si>
    <t xml:space="preserve">Note: Skewness &gt; 0 and Mean &gt; Median show a few viral videos pulling averages up; use the median for a 'typical' video.</t>
  </si>
  <si>
    <t xml:space="preserve">2. Correlation matrix (Pearson r)</t>
  </si>
  <si>
    <t xml:space="preserve">Variable</t>
  </si>
  <si>
    <t xml:space="preserve">Duration</t>
  </si>
  <si>
    <t xml:space="preserve">Engagement</t>
  </si>
  <si>
    <t xml:space="preserve">Sub Conv.</t>
  </si>
  <si>
    <t xml:space="preserve">Read: |r| &gt; 0.7 strong, 0.4-0.7 moderate, &lt; 0.4 weak. Correlation is not causation; duration figures are affected by the Shorts/Long-form mix.</t>
  </si>
  <si>
    <t xml:space="preserve">3. Simple regression: Views on Impressions</t>
  </si>
  <si>
    <t xml:space="preserve">Slope (views per extra impression)</t>
  </si>
  <si>
    <t xml:space="preserve">Intercept</t>
  </si>
  <si>
    <t xml:space="preserve">R-squared</t>
  </si>
  <si>
    <t xml:space="preserve">What-if: planned impressions (input)</t>
  </si>
  <si>
    <t xml:space="preserve">Predicted views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</si>
</sst>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0.00%"/>
    <numFmt numFmtId="168" formatCode="0%"/>
    <numFmt numFmtId="169" formatCode="0"/>
    <numFmt numFmtId="170" formatCode="0.000%"/>
    <numFmt numFmtId="171" formatCode="dd\-mmm\-yyyy"/>
    <numFmt numFmtId="172" formatCode="0.0#"/>
    <numFmt numFmtId="173" formatCode="#,##0.0"/>
    <numFmt numFmtId="174" formatCode="mmm\-yy"/>
    <numFmt numFmtId="175" formatCode="0.00"/>
    <numFmt numFmtId="176" formatCode="0.0"/>
    <numFmt numFmtId="177" formatCode="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DDEBF7"/>
        <bgColor rgb="FFD9D9D9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7F7F7F"/>
      <rgbColor rgb="FF93A9CE"/>
      <rgbColor rgb="FFAB4744"/>
      <rgbColor rgb="FFFFF2CC"/>
      <rgbColor rgb="FFDDEB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A5A5A5"/>
      <rgbColor rgb="FFFFCC99"/>
      <rgbColor rgb="FF4672A8"/>
      <rgbColor rgb="FF33CCCC"/>
      <rgbColor rgb="FF8AA64F"/>
      <rgbColor rgb="FFFFCC00"/>
      <rgbColor rgb="FFFF9900"/>
      <rgbColor rgb="FFED7D31"/>
      <rgbColor rgb="FF725990"/>
      <rgbColor rgb="FF878787"/>
      <rgbColor rgb="FF1F3864"/>
      <rgbColor rgb="FF4299B0"/>
      <rgbColor rgb="FF003300"/>
      <rgbColor rgb="FF333300"/>
      <rgbColor rgb="FF993300"/>
      <rgbColor rgb="FF595959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views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Timing_Trends!D24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Timing_Trends!$B$25:$B$36</c:f>
              <c:strCache>
                <c:ptCount val="12"/>
                <c:pt idx="0">
                  <c:v>Sep 25</c:v>
                </c:pt>
                <c:pt idx="1">
                  <c:v>Oct 25</c:v>
                </c:pt>
                <c:pt idx="2">
                  <c:v>Nov 25</c:v>
                </c:pt>
                <c:pt idx="3">
                  <c:v>Dec 25</c:v>
                </c:pt>
                <c:pt idx="4">
                  <c:v>Jan 26</c:v>
                </c:pt>
                <c:pt idx="5">
                  <c:v>Feb 26</c:v>
                </c:pt>
                <c:pt idx="6">
                  <c:v>Mar 26</c:v>
                </c:pt>
                <c:pt idx="7">
                  <c:v>Apr 26</c:v>
                </c:pt>
                <c:pt idx="8">
                  <c:v>May 26</c:v>
                </c:pt>
                <c:pt idx="9">
                  <c:v>Jun 26</c:v>
                </c:pt>
                <c:pt idx="10">
                  <c:v>Jul 26</c:v>
                </c:pt>
                <c:pt idx="11">
                  <c:v>Aug 26</c:v>
                </c:pt>
              </c:strCache>
            </c:strRef>
          </c:cat>
          <c:val>
            <c:numRef>
              <c:f>Timing_Trends!$D$25:$D$36</c:f>
              <c:numCache>
                <c:formatCode>#,##0</c:formatCode>
                <c:ptCount val="12"/>
                <c:pt idx="0">
                  <c:v>298232</c:v>
                </c:pt>
                <c:pt idx="1">
                  <c:v>394539</c:v>
                </c:pt>
                <c:pt idx="2">
                  <c:v>351098</c:v>
                </c:pt>
                <c:pt idx="3">
                  <c:v>522345</c:v>
                </c:pt>
                <c:pt idx="4">
                  <c:v>747752</c:v>
                </c:pt>
                <c:pt idx="5">
                  <c:v>405646</c:v>
                </c:pt>
                <c:pt idx="6">
                  <c:v>532751</c:v>
                </c:pt>
                <c:pt idx="7">
                  <c:v>468764</c:v>
                </c:pt>
                <c:pt idx="8">
                  <c:v>484604</c:v>
                </c:pt>
                <c:pt idx="9">
                  <c:v>472995</c:v>
                </c:pt>
                <c:pt idx="10">
                  <c:v>586765</c:v>
                </c:pt>
                <c:pt idx="11">
                  <c:v>532987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75911"/>
        <c:axId val="75475446"/>
      </c:lineChart>
      <c:catAx>
        <c:axId val="8975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75446"/>
        <c:crosses val="autoZero"/>
        <c:auto val="1"/>
        <c:lblAlgn val="ctr"/>
        <c:lblOffset val="100"/>
        <c:noMultiLvlLbl val="0"/>
      </c:catAx>
      <c:valAx>
        <c:axId val="75475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5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subscribers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Timing_Trends!J24</c:f>
              <c:strCache>
                <c:ptCount val="1"/>
                <c:pt idx="0">
                  <c:v>Cumulative Subscribers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Timing_Trends!$B$25:$B$36</c:f>
              <c:strCache>
                <c:ptCount val="12"/>
                <c:pt idx="0">
                  <c:v>Sep 25</c:v>
                </c:pt>
                <c:pt idx="1">
                  <c:v>Oct 25</c:v>
                </c:pt>
                <c:pt idx="2">
                  <c:v>Nov 25</c:v>
                </c:pt>
                <c:pt idx="3">
                  <c:v>Dec 25</c:v>
                </c:pt>
                <c:pt idx="4">
                  <c:v>Jan 26</c:v>
                </c:pt>
                <c:pt idx="5">
                  <c:v>Feb 26</c:v>
                </c:pt>
                <c:pt idx="6">
                  <c:v>Mar 26</c:v>
                </c:pt>
                <c:pt idx="7">
                  <c:v>Apr 26</c:v>
                </c:pt>
                <c:pt idx="8">
                  <c:v>May 26</c:v>
                </c:pt>
                <c:pt idx="9">
                  <c:v>Jun 26</c:v>
                </c:pt>
                <c:pt idx="10">
                  <c:v>Jul 26</c:v>
                </c:pt>
                <c:pt idx="11">
                  <c:v>Aug 26</c:v>
                </c:pt>
              </c:strCache>
            </c:strRef>
          </c:cat>
          <c:val>
            <c:numRef>
              <c:f>Timing_Trends!$J$25:$J$36</c:f>
              <c:numCache>
                <c:formatCode>#,##0</c:formatCode>
                <c:ptCount val="12"/>
                <c:pt idx="0">
                  <c:v>13850</c:v>
                </c:pt>
                <c:pt idx="1">
                  <c:v>15408</c:v>
                </c:pt>
                <c:pt idx="2">
                  <c:v>16832</c:v>
                </c:pt>
                <c:pt idx="3">
                  <c:v>18694</c:v>
                </c:pt>
                <c:pt idx="4">
                  <c:v>21393</c:v>
                </c:pt>
                <c:pt idx="5">
                  <c:v>23175</c:v>
                </c:pt>
                <c:pt idx="6">
                  <c:v>25299</c:v>
                </c:pt>
                <c:pt idx="7">
                  <c:v>26883</c:v>
                </c:pt>
                <c:pt idx="8">
                  <c:v>28325</c:v>
                </c:pt>
                <c:pt idx="9">
                  <c:v>30028</c:v>
                </c:pt>
                <c:pt idx="10">
                  <c:v>32296</c:v>
                </c:pt>
                <c:pt idx="11">
                  <c:v>34563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928360"/>
        <c:axId val="39901785"/>
      </c:lineChart>
      <c:catAx>
        <c:axId val="229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01785"/>
        <c:crosses val="autoZero"/>
        <c:auto val="1"/>
        <c:lblAlgn val="ctr"/>
        <c:lblOffset val="100"/>
        <c:noMultiLvlLbl val="0"/>
      </c:catAx>
      <c:valAx>
        <c:axId val="39901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283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views per video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Content_Analysis!D4</c:f>
              <c:strCache>
                <c:ptCount val="1"/>
                <c:pt idx="0">
                  <c:v>Avg Views / Video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Content_Analysis!$A$5:$A$10</c:f>
              <c:strCache>
                <c:ptCount val="6"/>
                <c:pt idx="0">
                  <c:v>Business Explainers</c:v>
                </c:pt>
                <c:pt idx="1">
                  <c:v>Career Guidance</c:v>
                </c:pt>
                <c:pt idx="2">
                  <c:v>Finance &amp; Investing</c:v>
                </c:pt>
                <c:pt idx="3">
                  <c:v>Excel &amp; Tech Tutorials</c:v>
                </c:pt>
                <c:pt idx="4">
                  <c:v>Campus Vlogs</c:v>
                </c:pt>
                <c:pt idx="5">
                  <c:v>Interviews &amp; Podcasts</c:v>
                </c:pt>
              </c:strCache>
            </c:strRef>
          </c:cat>
          <c:val>
            <c:numRef>
              <c:f>Content_Analysis!$D$5:$D$10</c:f>
              <c:numCache>
                <c:formatCode>#,##0</c:formatCode>
                <c:ptCount val="6"/>
                <c:pt idx="0">
                  <c:v>41077.5555555556</c:v>
                </c:pt>
                <c:pt idx="1">
                  <c:v>54498.3846153846</c:v>
                </c:pt>
                <c:pt idx="2">
                  <c:v>42552.3793103448</c:v>
                </c:pt>
                <c:pt idx="3">
                  <c:v>32054.1315789474</c:v>
                </c:pt>
                <c:pt idx="4">
                  <c:v>14074.6</c:v>
                </c:pt>
                <c:pt idx="5">
                  <c:v>6916.33333333333</c:v>
                </c:pt>
              </c:numCache>
            </c:numRef>
          </c:val>
        </c:ser>
        <c:gapWidth val="150"/>
        <c:overlap val="0"/>
        <c:axId val="89193192"/>
        <c:axId val="66335502"/>
      </c:barChart>
      <c:catAx>
        <c:axId val="8919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35502"/>
        <c:crosses val="autoZero"/>
        <c:auto val="1"/>
        <c:lblAlgn val="ctr"/>
        <c:lblOffset val="100"/>
        <c:noMultiLvlLbl val="0"/>
      </c:catAx>
      <c:valAx>
        <c:axId val="66335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31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rate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Content_Analysis!H4</c:f>
              <c:strCache>
                <c:ptCount val="1"/>
                <c:pt idx="0">
                  <c:v>Engagement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Content_Analysis!$A$5:$A$10</c:f>
              <c:strCache>
                <c:ptCount val="6"/>
                <c:pt idx="0">
                  <c:v>Business Explainers</c:v>
                </c:pt>
                <c:pt idx="1">
                  <c:v>Career Guidance</c:v>
                </c:pt>
                <c:pt idx="2">
                  <c:v>Finance &amp; Investing</c:v>
                </c:pt>
                <c:pt idx="3">
                  <c:v>Excel &amp; Tech Tutorials</c:v>
                </c:pt>
                <c:pt idx="4">
                  <c:v>Campus Vlogs</c:v>
                </c:pt>
                <c:pt idx="5">
                  <c:v>Interviews &amp; Podcasts</c:v>
                </c:pt>
              </c:strCache>
            </c:strRef>
          </c:cat>
          <c:val>
            <c:numRef>
              <c:f>Content_Analysis!$H$5:$H$10</c:f>
              <c:numCache>
                <c:formatCode>0.00%</c:formatCode>
                <c:ptCount val="6"/>
                <c:pt idx="0">
                  <c:v>0.0473079829121788</c:v>
                </c:pt>
                <c:pt idx="1">
                  <c:v>0.0503364719819971</c:v>
                </c:pt>
                <c:pt idx="2">
                  <c:v>0.0456281467303178</c:v>
                </c:pt>
                <c:pt idx="3">
                  <c:v>0.0398626665254582</c:v>
                </c:pt>
                <c:pt idx="4">
                  <c:v>0.0626234493342617</c:v>
                </c:pt>
                <c:pt idx="5">
                  <c:v>0.0388211480071329</c:v>
                </c:pt>
              </c:numCache>
            </c:numRef>
          </c:val>
        </c:ser>
        <c:gapWidth val="150"/>
        <c:overlap val="0"/>
        <c:axId val="67385074"/>
        <c:axId val="21080302"/>
      </c:barChart>
      <c:catAx>
        <c:axId val="67385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80302"/>
        <c:crosses val="autoZero"/>
        <c:auto val="1"/>
        <c:lblAlgn val="ctr"/>
        <c:lblOffset val="100"/>
        <c:noMultiLvlLbl val="0"/>
      </c:catAx>
      <c:valAx>
        <c:axId val="21080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85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Traffic sources (share of views)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Audience_Data!B42</c:f>
              <c:strCache>
                <c:ptCount val="1"/>
                <c:pt idx="0">
                  <c:v>Share of Views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Audience_Data!$A$43:$A$49</c:f>
              <c:strCache>
                <c:ptCount val="7"/>
                <c:pt idx="0">
                  <c:v>Suggested videos</c:v>
                </c:pt>
                <c:pt idx="1">
                  <c:v>YouTube search</c:v>
                </c:pt>
                <c:pt idx="2">
                  <c:v>Browse features</c:v>
                </c:pt>
                <c:pt idx="3">
                  <c:v>Shorts feed</c:v>
                </c:pt>
                <c:pt idx="4">
                  <c:v>External</c:v>
                </c:pt>
                <c:pt idx="5">
                  <c:v>Direct / unknown</c:v>
                </c:pt>
                <c:pt idx="6">
                  <c:v>Notifications</c:v>
                </c:pt>
              </c:strCache>
            </c:strRef>
          </c:cat>
          <c:val>
            <c:numRef>
              <c:f>Audience_Data!$B$43:$B$49</c:f>
              <c:numCache>
                <c:formatCode>0.0%</c:formatCode>
                <c:ptCount val="7"/>
                <c:pt idx="0">
                  <c:v>0.27</c:v>
                </c:pt>
                <c:pt idx="1">
                  <c:v>0.24</c:v>
                </c:pt>
                <c:pt idx="2">
                  <c:v>0.18</c:v>
                </c:pt>
                <c:pt idx="3">
                  <c:v>0.12</c:v>
                </c:pt>
                <c:pt idx="4">
                  <c:v>0.08</c:v>
                </c:pt>
                <c:pt idx="5">
                  <c:v>0.06</c:v>
                </c:pt>
                <c:pt idx="6">
                  <c:v>0.05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Audience by age group and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Audience_Data!B6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Audience_Data!$A$7:$A$12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Audience_Data!$B$7:$B$12</c:f>
              <c:numCache>
                <c:formatCode>0.0%</c:formatCode>
                <c:ptCount val="6"/>
                <c:pt idx="0">
                  <c:v>0.04</c:v>
                </c:pt>
                <c:pt idx="1">
                  <c:v>0.27</c:v>
                </c:pt>
                <c:pt idx="2">
                  <c:v>0.175</c:v>
                </c:pt>
                <c:pt idx="3">
                  <c:v>0.078</c:v>
                </c:pt>
                <c:pt idx="4">
                  <c:v>0.042</c:v>
                </c:pt>
                <c:pt idx="5">
                  <c:v>0.032</c:v>
                </c:pt>
              </c:numCache>
            </c:numRef>
          </c:val>
        </c:ser>
        <c:ser>
          <c:idx val="1"/>
          <c:order val="1"/>
          <c:tx>
            <c:strRef>
              <c:f>Audience_Data!C6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Audience_Data!$A$7:$A$12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Audience_Data!$C$7:$C$12</c:f>
              <c:numCache>
                <c:formatCode>0.0%</c:formatCode>
                <c:ptCount val="6"/>
                <c:pt idx="0">
                  <c:v>0.024</c:v>
                </c:pt>
                <c:pt idx="1">
                  <c:v>0.155</c:v>
                </c:pt>
                <c:pt idx="2">
                  <c:v>0.092</c:v>
                </c:pt>
                <c:pt idx="3">
                  <c:v>0.041</c:v>
                </c:pt>
                <c:pt idx="4">
                  <c:v>0.022</c:v>
                </c:pt>
                <c:pt idx="5">
                  <c:v>0.017</c:v>
                </c:pt>
              </c:numCache>
            </c:numRef>
          </c:val>
        </c:ser>
        <c:ser>
          <c:idx val="2"/>
          <c:order val="2"/>
          <c:tx>
            <c:strRef>
              <c:f>Audience_Data!D6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Audience_Data!$A$7:$A$12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Audience_Data!$D$7:$D$12</c:f>
              <c:numCache>
                <c:formatCode>0.0%</c:formatCode>
                <c:ptCount val="6"/>
                <c:pt idx="0">
                  <c:v>0.001</c:v>
                </c:pt>
                <c:pt idx="1">
                  <c:v>0.005</c:v>
                </c:pt>
                <c:pt idx="2">
                  <c:v>0.003</c:v>
                </c:pt>
                <c:pt idx="3">
                  <c:v>0.001</c:v>
                </c:pt>
                <c:pt idx="4">
                  <c:v>0.001</c:v>
                </c:pt>
                <c:pt idx="5">
                  <c:v>0.001</c:v>
                </c:pt>
              </c:numCache>
            </c:numRef>
          </c:val>
        </c:ser>
        <c:gapWidth val="150"/>
        <c:overlap val="100"/>
        <c:axId val="25187184"/>
        <c:axId val="36404616"/>
      </c:barChart>
      <c:catAx>
        <c:axId val="251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04616"/>
        <c:crosses val="autoZero"/>
        <c:auto val="1"/>
        <c:lblAlgn val="ctr"/>
        <c:lblOffset val="100"/>
        <c:noMultiLvlLbl val="0"/>
      </c:catAx>
      <c:valAx>
        <c:axId val="36404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871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views per video by publishing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Timing_Trends!D4</c:f>
              <c:strCache>
                <c:ptCount val="1"/>
                <c:pt idx="0">
                  <c:v>Avg Views / Video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Timing_Trends!$A$5:$A$11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Timing_Trends!$D$5:$D$11</c:f>
              <c:numCache>
                <c:formatCode>#,##0</c:formatCode>
                <c:ptCount val="7"/>
                <c:pt idx="0">
                  <c:v>34383.1764705882</c:v>
                </c:pt>
                <c:pt idx="1">
                  <c:v>28940.3333333333</c:v>
                </c:pt>
                <c:pt idx="2">
                  <c:v>45446.5217391304</c:v>
                </c:pt>
                <c:pt idx="3">
                  <c:v>38368.2352941177</c:v>
                </c:pt>
                <c:pt idx="4">
                  <c:v>41063.2857142857</c:v>
                </c:pt>
                <c:pt idx="5">
                  <c:v>52320.7826086957</c:v>
                </c:pt>
                <c:pt idx="6">
                  <c:v>37035.8</c:v>
                </c:pt>
              </c:numCache>
            </c:numRef>
          </c:val>
        </c:ser>
        <c:gapWidth val="150"/>
        <c:overlap val="0"/>
        <c:axId val="75975722"/>
        <c:axId val="61702666"/>
      </c:barChart>
      <c:catAx>
        <c:axId val="75975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02666"/>
        <c:crosses val="autoZero"/>
        <c:auto val="1"/>
        <c:lblAlgn val="ctr"/>
        <c:lblOffset val="100"/>
        <c:noMultiLvlLbl val="0"/>
      </c:catAx>
      <c:valAx>
        <c:axId val="61702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757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CTR vs views (each dot = one video)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"Videos"</c:f>
              <c:strCache>
                <c:ptCount val="1"/>
                <c:pt idx="0">
                  <c:v>Videos</c:v>
                </c:pt>
              </c:strCache>
            </c:strRef>
          </c:tx>
          <c:spPr>
            <a:solidFill>
              <a:srgbClr val="2f5597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Videos_Data!$P$2:$P$145</c:f>
              <c:numCache>
                <c:formatCode>0.0%</c:formatCode>
                <c:ptCount val="144"/>
                <c:pt idx="0">
                  <c:v>0.0677325861108762</c:v>
                </c:pt>
                <c:pt idx="1">
                  <c:v>0.0652002537034802</c:v>
                </c:pt>
                <c:pt idx="2">
                  <c:v>0.0659412174228895</c:v>
                </c:pt>
                <c:pt idx="3">
                  <c:v>0.0663503839845487</c:v>
                </c:pt>
                <c:pt idx="4">
                  <c:v>0.0579347105612019</c:v>
                </c:pt>
                <c:pt idx="5">
                  <c:v>0.0624725338267607</c:v>
                </c:pt>
                <c:pt idx="6">
                  <c:v>0.0384446185044904</c:v>
                </c:pt>
                <c:pt idx="7">
                  <c:v>0.0546230969179354</c:v>
                </c:pt>
                <c:pt idx="8">
                  <c:v>0.0880878866270365</c:v>
                </c:pt>
                <c:pt idx="9">
                  <c:v>0.0658047196760242</c:v>
                </c:pt>
                <c:pt idx="10">
                  <c:v>0.068299300191956</c:v>
                </c:pt>
                <c:pt idx="11">
                  <c:v>0.0632697836283855</c:v>
                </c:pt>
                <c:pt idx="12">
                  <c:v>0.0543954842684793</c:v>
                </c:pt>
                <c:pt idx="13">
                  <c:v>0.0434925760597714</c:v>
                </c:pt>
                <c:pt idx="14">
                  <c:v>0.0529916381942214</c:v>
                </c:pt>
                <c:pt idx="15">
                  <c:v>0.0511378042326692</c:v>
                </c:pt>
                <c:pt idx="16">
                  <c:v>0.0806699007761206</c:v>
                </c:pt>
                <c:pt idx="17">
                  <c:v>0.101671586321441</c:v>
                </c:pt>
                <c:pt idx="18">
                  <c:v>0.0490284592737978</c:v>
                </c:pt>
                <c:pt idx="19">
                  <c:v>0.0727039971748295</c:v>
                </c:pt>
                <c:pt idx="20">
                  <c:v>0.0698575511824232</c:v>
                </c:pt>
                <c:pt idx="21">
                  <c:v>0.0691857845297575</c:v>
                </c:pt>
                <c:pt idx="22">
                  <c:v>0.0868841684263519</c:v>
                </c:pt>
                <c:pt idx="23">
                  <c:v>0.0429866139150825</c:v>
                </c:pt>
                <c:pt idx="24">
                  <c:v>0.0801006440586774</c:v>
                </c:pt>
                <c:pt idx="25">
                  <c:v>0.0557435928247648</c:v>
                </c:pt>
                <c:pt idx="26">
                  <c:v>0.0840732388146793</c:v>
                </c:pt>
                <c:pt idx="27">
                  <c:v>0.065861378933964</c:v>
                </c:pt>
                <c:pt idx="28">
                  <c:v>0.0454893180333986</c:v>
                </c:pt>
                <c:pt idx="29">
                  <c:v>0.0959690170907871</c:v>
                </c:pt>
                <c:pt idx="30">
                  <c:v>0.052594008220475</c:v>
                </c:pt>
                <c:pt idx="31">
                  <c:v>0.0704589586636954</c:v>
                </c:pt>
                <c:pt idx="32">
                  <c:v>0.0412809213865718</c:v>
                </c:pt>
                <c:pt idx="33">
                  <c:v>0.0668537612104204</c:v>
                </c:pt>
                <c:pt idx="34">
                  <c:v>0.0815563833955539</c:v>
                </c:pt>
                <c:pt idx="35">
                  <c:v>0.0644307912305352</c:v>
                </c:pt>
                <c:pt idx="36">
                  <c:v>0.0581731330942687</c:v>
                </c:pt>
                <c:pt idx="37">
                  <c:v>0.059907117617365</c:v>
                </c:pt>
                <c:pt idx="38">
                  <c:v>0.0554106313356674</c:v>
                </c:pt>
                <c:pt idx="39">
                  <c:v>0.0715498900008014</c:v>
                </c:pt>
                <c:pt idx="40">
                  <c:v>0.0419185007792603</c:v>
                </c:pt>
                <c:pt idx="41">
                  <c:v>0.0474964863940465</c:v>
                </c:pt>
                <c:pt idx="42">
                  <c:v>0.0467603849533111</c:v>
                </c:pt>
                <c:pt idx="43">
                  <c:v>0.091463125219521</c:v>
                </c:pt>
                <c:pt idx="44">
                  <c:v>0.0450932189294917</c:v>
                </c:pt>
                <c:pt idx="45">
                  <c:v>0.0933523682442208</c:v>
                </c:pt>
                <c:pt idx="46">
                  <c:v>0.080420995292012</c:v>
                </c:pt>
                <c:pt idx="47">
                  <c:v>0.0515444509171509</c:v>
                </c:pt>
                <c:pt idx="48">
                  <c:v>0.0416829118456567</c:v>
                </c:pt>
                <c:pt idx="49">
                  <c:v>0.0385614140881167</c:v>
                </c:pt>
                <c:pt idx="50">
                  <c:v>0.0828222742235041</c:v>
                </c:pt>
                <c:pt idx="51">
                  <c:v>0.0662098490779881</c:v>
                </c:pt>
                <c:pt idx="52">
                  <c:v>0.0547594706650764</c:v>
                </c:pt>
                <c:pt idx="53">
                  <c:v>0.0837121022315487</c:v>
                </c:pt>
                <c:pt idx="54">
                  <c:v>0.0822755155930505</c:v>
                </c:pt>
                <c:pt idx="55">
                  <c:v>0.0539853319291454</c:v>
                </c:pt>
                <c:pt idx="56">
                  <c:v>0.072423181491246</c:v>
                </c:pt>
                <c:pt idx="57">
                  <c:v>0.0487137361403194</c:v>
                </c:pt>
                <c:pt idx="58">
                  <c:v>0.0635731734958572</c:v>
                </c:pt>
                <c:pt idx="59">
                  <c:v>0.0423618340891718</c:v>
                </c:pt>
                <c:pt idx="60">
                  <c:v>0.0547725609321666</c:v>
                </c:pt>
                <c:pt idx="61">
                  <c:v>0.0408345410201124</c:v>
                </c:pt>
                <c:pt idx="62">
                  <c:v>0.0426174721123615</c:v>
                </c:pt>
                <c:pt idx="63">
                  <c:v>0.0486389717540318</c:v>
                </c:pt>
                <c:pt idx="64">
                  <c:v>0.0705300740636784</c:v>
                </c:pt>
                <c:pt idx="65">
                  <c:v>0.0998130805149066</c:v>
                </c:pt>
                <c:pt idx="66">
                  <c:v>0.05342031678785</c:v>
                </c:pt>
                <c:pt idx="67">
                  <c:v>0.0895218508391477</c:v>
                </c:pt>
                <c:pt idx="68">
                  <c:v>0.0523967786148761</c:v>
                </c:pt>
                <c:pt idx="69">
                  <c:v>0.0623195912406352</c:v>
                </c:pt>
                <c:pt idx="70">
                  <c:v>0.0524937893494448</c:v>
                </c:pt>
                <c:pt idx="71">
                  <c:v>0.06111074721974</c:v>
                </c:pt>
                <c:pt idx="72">
                  <c:v>0.0564298791745302</c:v>
                </c:pt>
                <c:pt idx="73">
                  <c:v>0.0816311888180877</c:v>
                </c:pt>
                <c:pt idx="74">
                  <c:v>0.062501920378545</c:v>
                </c:pt>
                <c:pt idx="75">
                  <c:v>0.0697887250890398</c:v>
                </c:pt>
                <c:pt idx="76">
                  <c:v>0.0874844688557125</c:v>
                </c:pt>
                <c:pt idx="77">
                  <c:v>0.0494695921239576</c:v>
                </c:pt>
                <c:pt idx="78">
                  <c:v>0.0462844986675988</c:v>
                </c:pt>
                <c:pt idx="79">
                  <c:v>0.066575493341841</c:v>
                </c:pt>
                <c:pt idx="80">
                  <c:v>0.0552556186630206</c:v>
                </c:pt>
                <c:pt idx="81">
                  <c:v>0.0952058710505844</c:v>
                </c:pt>
                <c:pt idx="82">
                  <c:v>0.0373818792412487</c:v>
                </c:pt>
                <c:pt idx="83">
                  <c:v>0.101297958090321</c:v>
                </c:pt>
                <c:pt idx="84">
                  <c:v>0.0757770246616198</c:v>
                </c:pt>
                <c:pt idx="85">
                  <c:v>0.102541316448822</c:v>
                </c:pt>
                <c:pt idx="86">
                  <c:v>0.0739247746009293</c:v>
                </c:pt>
                <c:pt idx="87">
                  <c:v>0.0348303787828863</c:v>
                </c:pt>
                <c:pt idx="88">
                  <c:v>0.0608614022598415</c:v>
                </c:pt>
                <c:pt idx="89">
                  <c:v>0.0526638959798509</c:v>
                </c:pt>
                <c:pt idx="90">
                  <c:v>0.0433491505832611</c:v>
                </c:pt>
                <c:pt idx="91">
                  <c:v>0.0639160433558491</c:v>
                </c:pt>
                <c:pt idx="92">
                  <c:v>0.0447133781975155</c:v>
                </c:pt>
                <c:pt idx="93">
                  <c:v>0.074221024761047</c:v>
                </c:pt>
                <c:pt idx="94">
                  <c:v>0.0606567261518395</c:v>
                </c:pt>
                <c:pt idx="95">
                  <c:v>0.0718663289966251</c:v>
                </c:pt>
                <c:pt idx="96">
                  <c:v>0.0541215553402382</c:v>
                </c:pt>
                <c:pt idx="97">
                  <c:v>0.0379702218458292</c:v>
                </c:pt>
                <c:pt idx="98">
                  <c:v>0.0648513558769421</c:v>
                </c:pt>
                <c:pt idx="99">
                  <c:v>0.0622495905449531</c:v>
                </c:pt>
                <c:pt idx="100">
                  <c:v>0.0496907857483873</c:v>
                </c:pt>
                <c:pt idx="101">
                  <c:v>0.0305330860492831</c:v>
                </c:pt>
                <c:pt idx="102">
                  <c:v>0.0587882468491569</c:v>
                </c:pt>
                <c:pt idx="103">
                  <c:v>0.070756901612692</c:v>
                </c:pt>
                <c:pt idx="104">
                  <c:v>0.064385695601234</c:v>
                </c:pt>
                <c:pt idx="105">
                  <c:v>0.0703933922983642</c:v>
                </c:pt>
                <c:pt idx="106">
                  <c:v>0.0871010991254636</c:v>
                </c:pt>
                <c:pt idx="107">
                  <c:v>0.0491853200268656</c:v>
                </c:pt>
                <c:pt idx="108">
                  <c:v>0.073715526918547</c:v>
                </c:pt>
                <c:pt idx="109">
                  <c:v>0.0564668722716369</c:v>
                </c:pt>
                <c:pt idx="110">
                  <c:v>0.0824199296797187</c:v>
                </c:pt>
                <c:pt idx="111">
                  <c:v>0.0548626690915849</c:v>
                </c:pt>
                <c:pt idx="112">
                  <c:v>0.0482849393242444</c:v>
                </c:pt>
                <c:pt idx="113">
                  <c:v>0.037360669456067</c:v>
                </c:pt>
                <c:pt idx="114">
                  <c:v>0.0685407849806853</c:v>
                </c:pt>
                <c:pt idx="115">
                  <c:v>0.0527350129671826</c:v>
                </c:pt>
                <c:pt idx="116">
                  <c:v>0.0486553373812101</c:v>
                </c:pt>
                <c:pt idx="117">
                  <c:v>0.0474560448109538</c:v>
                </c:pt>
                <c:pt idx="118">
                  <c:v>0.034636058683264</c:v>
                </c:pt>
                <c:pt idx="119">
                  <c:v>0.0500779657744137</c:v>
                </c:pt>
                <c:pt idx="120">
                  <c:v>0.0482250678716351</c:v>
                </c:pt>
                <c:pt idx="121">
                  <c:v>0.0891481064803458</c:v>
                </c:pt>
                <c:pt idx="122">
                  <c:v>0.06985551818777</c:v>
                </c:pt>
                <c:pt idx="123">
                  <c:v>0.0578321945651413</c:v>
                </c:pt>
                <c:pt idx="124">
                  <c:v>0.097249500291557</c:v>
                </c:pt>
                <c:pt idx="125">
                  <c:v>0.0405075134904055</c:v>
                </c:pt>
                <c:pt idx="126">
                  <c:v>0.042035181463417</c:v>
                </c:pt>
                <c:pt idx="127">
                  <c:v>0.0518863508219301</c:v>
                </c:pt>
                <c:pt idx="128">
                  <c:v>0.0581891258503936</c:v>
                </c:pt>
                <c:pt idx="129">
                  <c:v>0.0633855731047708</c:v>
                </c:pt>
                <c:pt idx="130">
                  <c:v>0.061276476070806</c:v>
                </c:pt>
                <c:pt idx="131">
                  <c:v>0.0547195999770508</c:v>
                </c:pt>
                <c:pt idx="132">
                  <c:v>0.0596043001528109</c:v>
                </c:pt>
                <c:pt idx="133">
                  <c:v>0.0689947209151097</c:v>
                </c:pt>
                <c:pt idx="134">
                  <c:v>0.105433906195328</c:v>
                </c:pt>
                <c:pt idx="135">
                  <c:v>0.0560217722514376</c:v>
                </c:pt>
                <c:pt idx="136">
                  <c:v>0.0514544480356742</c:v>
                </c:pt>
                <c:pt idx="137">
                  <c:v>0.0485690023608895</c:v>
                </c:pt>
                <c:pt idx="138">
                  <c:v>0.0400138007640911</c:v>
                </c:pt>
                <c:pt idx="139">
                  <c:v>0.0589692121793143</c:v>
                </c:pt>
                <c:pt idx="140">
                  <c:v>0.0914208870857455</c:v>
                </c:pt>
                <c:pt idx="141">
                  <c:v>0.0609000145583829</c:v>
                </c:pt>
                <c:pt idx="142">
                  <c:v>0.0784210535736981</c:v>
                </c:pt>
                <c:pt idx="143">
                  <c:v>0.0497465210692134</c:v>
                </c:pt>
              </c:numCache>
            </c:numRef>
          </c:xVal>
          <c:yVal>
            <c:numRef>
              <c:f>Videos_Data!$H$2:$H$145</c:f>
              <c:numCache>
                <c:formatCode>#,##0</c:formatCode>
                <c:ptCount val="144"/>
                <c:pt idx="0">
                  <c:v>46459</c:v>
                </c:pt>
                <c:pt idx="1">
                  <c:v>50782</c:v>
                </c:pt>
                <c:pt idx="2">
                  <c:v>17428</c:v>
                </c:pt>
                <c:pt idx="3">
                  <c:v>25971</c:v>
                </c:pt>
                <c:pt idx="4">
                  <c:v>20977</c:v>
                </c:pt>
                <c:pt idx="5">
                  <c:v>24309</c:v>
                </c:pt>
                <c:pt idx="6">
                  <c:v>10749</c:v>
                </c:pt>
                <c:pt idx="7">
                  <c:v>11768</c:v>
                </c:pt>
                <c:pt idx="8">
                  <c:v>17945</c:v>
                </c:pt>
                <c:pt idx="9">
                  <c:v>28680</c:v>
                </c:pt>
                <c:pt idx="10">
                  <c:v>18075</c:v>
                </c:pt>
                <c:pt idx="11">
                  <c:v>25089</c:v>
                </c:pt>
                <c:pt idx="12">
                  <c:v>13684</c:v>
                </c:pt>
                <c:pt idx="13">
                  <c:v>13738</c:v>
                </c:pt>
                <c:pt idx="14">
                  <c:v>41085</c:v>
                </c:pt>
                <c:pt idx="15">
                  <c:v>30052</c:v>
                </c:pt>
                <c:pt idx="16">
                  <c:v>49122</c:v>
                </c:pt>
                <c:pt idx="17">
                  <c:v>61827</c:v>
                </c:pt>
                <c:pt idx="18">
                  <c:v>12490</c:v>
                </c:pt>
                <c:pt idx="19">
                  <c:v>29646</c:v>
                </c:pt>
                <c:pt idx="20">
                  <c:v>42062</c:v>
                </c:pt>
                <c:pt idx="21">
                  <c:v>13972</c:v>
                </c:pt>
                <c:pt idx="22">
                  <c:v>55917</c:v>
                </c:pt>
                <c:pt idx="23">
                  <c:v>30944</c:v>
                </c:pt>
                <c:pt idx="24">
                  <c:v>25309</c:v>
                </c:pt>
                <c:pt idx="25">
                  <c:v>25050</c:v>
                </c:pt>
                <c:pt idx="26">
                  <c:v>42648</c:v>
                </c:pt>
                <c:pt idx="27">
                  <c:v>36204</c:v>
                </c:pt>
                <c:pt idx="28">
                  <c:v>17066</c:v>
                </c:pt>
                <c:pt idx="29">
                  <c:v>31743</c:v>
                </c:pt>
                <c:pt idx="30">
                  <c:v>20998</c:v>
                </c:pt>
                <c:pt idx="31">
                  <c:v>46699</c:v>
                </c:pt>
                <c:pt idx="32">
                  <c:v>9190</c:v>
                </c:pt>
                <c:pt idx="33">
                  <c:v>16437</c:v>
                </c:pt>
                <c:pt idx="34">
                  <c:v>41005</c:v>
                </c:pt>
                <c:pt idx="35">
                  <c:v>38749</c:v>
                </c:pt>
                <c:pt idx="36">
                  <c:v>25891</c:v>
                </c:pt>
                <c:pt idx="37">
                  <c:v>29669</c:v>
                </c:pt>
                <c:pt idx="38">
                  <c:v>53273</c:v>
                </c:pt>
                <c:pt idx="39">
                  <c:v>27677</c:v>
                </c:pt>
                <c:pt idx="40">
                  <c:v>13233</c:v>
                </c:pt>
                <c:pt idx="41">
                  <c:v>47076</c:v>
                </c:pt>
                <c:pt idx="42">
                  <c:v>4577</c:v>
                </c:pt>
                <c:pt idx="43">
                  <c:v>77080</c:v>
                </c:pt>
                <c:pt idx="44">
                  <c:v>39584</c:v>
                </c:pt>
                <c:pt idx="45">
                  <c:v>78076</c:v>
                </c:pt>
                <c:pt idx="46">
                  <c:v>82676</c:v>
                </c:pt>
                <c:pt idx="47">
                  <c:v>43533</c:v>
                </c:pt>
                <c:pt idx="48">
                  <c:v>36029</c:v>
                </c:pt>
                <c:pt idx="49">
                  <c:v>20463</c:v>
                </c:pt>
                <c:pt idx="50">
                  <c:v>237418</c:v>
                </c:pt>
                <c:pt idx="51">
                  <c:v>66130</c:v>
                </c:pt>
                <c:pt idx="52">
                  <c:v>19283</c:v>
                </c:pt>
                <c:pt idx="53">
                  <c:v>68495</c:v>
                </c:pt>
                <c:pt idx="54">
                  <c:v>60758</c:v>
                </c:pt>
                <c:pt idx="55">
                  <c:v>5690</c:v>
                </c:pt>
                <c:pt idx="56">
                  <c:v>112573</c:v>
                </c:pt>
                <c:pt idx="57">
                  <c:v>71785</c:v>
                </c:pt>
                <c:pt idx="58">
                  <c:v>25243</c:v>
                </c:pt>
                <c:pt idx="59">
                  <c:v>23885</c:v>
                </c:pt>
                <c:pt idx="60">
                  <c:v>33826</c:v>
                </c:pt>
                <c:pt idx="61">
                  <c:v>4621</c:v>
                </c:pt>
                <c:pt idx="62">
                  <c:v>31217</c:v>
                </c:pt>
                <c:pt idx="63">
                  <c:v>28745</c:v>
                </c:pt>
                <c:pt idx="64">
                  <c:v>42215</c:v>
                </c:pt>
                <c:pt idx="65">
                  <c:v>41491</c:v>
                </c:pt>
                <c:pt idx="66">
                  <c:v>73992</c:v>
                </c:pt>
                <c:pt idx="67">
                  <c:v>30383</c:v>
                </c:pt>
                <c:pt idx="68">
                  <c:v>5849</c:v>
                </c:pt>
                <c:pt idx="69">
                  <c:v>45360</c:v>
                </c:pt>
                <c:pt idx="70">
                  <c:v>15700</c:v>
                </c:pt>
                <c:pt idx="71">
                  <c:v>52247</c:v>
                </c:pt>
                <c:pt idx="72">
                  <c:v>88027</c:v>
                </c:pt>
                <c:pt idx="73">
                  <c:v>72816</c:v>
                </c:pt>
                <c:pt idx="74">
                  <c:v>12205</c:v>
                </c:pt>
                <c:pt idx="75">
                  <c:v>30274</c:v>
                </c:pt>
                <c:pt idx="76">
                  <c:v>62947</c:v>
                </c:pt>
                <c:pt idx="77">
                  <c:v>29561</c:v>
                </c:pt>
                <c:pt idx="78">
                  <c:v>24629</c:v>
                </c:pt>
                <c:pt idx="79">
                  <c:v>32762</c:v>
                </c:pt>
                <c:pt idx="80">
                  <c:v>16529</c:v>
                </c:pt>
                <c:pt idx="81">
                  <c:v>50789</c:v>
                </c:pt>
                <c:pt idx="82">
                  <c:v>12378</c:v>
                </c:pt>
                <c:pt idx="83">
                  <c:v>99834</c:v>
                </c:pt>
                <c:pt idx="84">
                  <c:v>61690</c:v>
                </c:pt>
                <c:pt idx="85">
                  <c:v>66464</c:v>
                </c:pt>
                <c:pt idx="86">
                  <c:v>43481</c:v>
                </c:pt>
                <c:pt idx="87">
                  <c:v>19027</c:v>
                </c:pt>
                <c:pt idx="88">
                  <c:v>40780</c:v>
                </c:pt>
                <c:pt idx="89">
                  <c:v>37052</c:v>
                </c:pt>
                <c:pt idx="90">
                  <c:v>22802</c:v>
                </c:pt>
                <c:pt idx="91">
                  <c:v>10579</c:v>
                </c:pt>
                <c:pt idx="92">
                  <c:v>4744</c:v>
                </c:pt>
                <c:pt idx="93">
                  <c:v>28677</c:v>
                </c:pt>
                <c:pt idx="94">
                  <c:v>78870</c:v>
                </c:pt>
                <c:pt idx="95">
                  <c:v>54598</c:v>
                </c:pt>
                <c:pt idx="96">
                  <c:v>17986</c:v>
                </c:pt>
                <c:pt idx="97">
                  <c:v>16051</c:v>
                </c:pt>
                <c:pt idx="98">
                  <c:v>43958</c:v>
                </c:pt>
                <c:pt idx="99">
                  <c:v>30064</c:v>
                </c:pt>
                <c:pt idx="100">
                  <c:v>8951</c:v>
                </c:pt>
                <c:pt idx="101">
                  <c:v>24135</c:v>
                </c:pt>
                <c:pt idx="102">
                  <c:v>54887</c:v>
                </c:pt>
                <c:pt idx="103">
                  <c:v>88610</c:v>
                </c:pt>
                <c:pt idx="104">
                  <c:v>73694</c:v>
                </c:pt>
                <c:pt idx="105">
                  <c:v>33204</c:v>
                </c:pt>
                <c:pt idx="106">
                  <c:v>63991</c:v>
                </c:pt>
                <c:pt idx="107">
                  <c:v>29073</c:v>
                </c:pt>
                <c:pt idx="108">
                  <c:v>37365</c:v>
                </c:pt>
                <c:pt idx="109">
                  <c:v>45480</c:v>
                </c:pt>
                <c:pt idx="110">
                  <c:v>68683</c:v>
                </c:pt>
                <c:pt idx="111">
                  <c:v>33062</c:v>
                </c:pt>
                <c:pt idx="112">
                  <c:v>45893</c:v>
                </c:pt>
                <c:pt idx="113">
                  <c:v>22323</c:v>
                </c:pt>
                <c:pt idx="114">
                  <c:v>20795</c:v>
                </c:pt>
                <c:pt idx="115">
                  <c:v>107201</c:v>
                </c:pt>
                <c:pt idx="116">
                  <c:v>36725</c:v>
                </c:pt>
                <c:pt idx="117">
                  <c:v>7320</c:v>
                </c:pt>
                <c:pt idx="118">
                  <c:v>10284</c:v>
                </c:pt>
                <c:pt idx="119">
                  <c:v>37864</c:v>
                </c:pt>
                <c:pt idx="120">
                  <c:v>36628</c:v>
                </c:pt>
                <c:pt idx="121">
                  <c:v>42156</c:v>
                </c:pt>
                <c:pt idx="122">
                  <c:v>96669</c:v>
                </c:pt>
                <c:pt idx="123">
                  <c:v>53705</c:v>
                </c:pt>
                <c:pt idx="124">
                  <c:v>67044</c:v>
                </c:pt>
                <c:pt idx="125">
                  <c:v>25110</c:v>
                </c:pt>
                <c:pt idx="126">
                  <c:v>17590</c:v>
                </c:pt>
                <c:pt idx="127">
                  <c:v>49877</c:v>
                </c:pt>
                <c:pt idx="128">
                  <c:v>48095</c:v>
                </c:pt>
                <c:pt idx="129">
                  <c:v>66306</c:v>
                </c:pt>
                <c:pt idx="130">
                  <c:v>33990</c:v>
                </c:pt>
                <c:pt idx="131">
                  <c:v>49595</c:v>
                </c:pt>
                <c:pt idx="132">
                  <c:v>66699</c:v>
                </c:pt>
                <c:pt idx="133">
                  <c:v>67373</c:v>
                </c:pt>
                <c:pt idx="134">
                  <c:v>83165</c:v>
                </c:pt>
                <c:pt idx="135">
                  <c:v>27357</c:v>
                </c:pt>
                <c:pt idx="136">
                  <c:v>53586</c:v>
                </c:pt>
                <c:pt idx="137">
                  <c:v>26024</c:v>
                </c:pt>
                <c:pt idx="138">
                  <c:v>23775</c:v>
                </c:pt>
                <c:pt idx="139">
                  <c:v>11810</c:v>
                </c:pt>
                <c:pt idx="140">
                  <c:v>52143</c:v>
                </c:pt>
                <c:pt idx="141">
                  <c:v>23844</c:v>
                </c:pt>
                <c:pt idx="142">
                  <c:v>43810</c:v>
                </c:pt>
                <c:pt idx="143">
                  <c:v>53401</c:v>
                </c:pt>
              </c:numCache>
            </c:numRef>
          </c:yVal>
          <c:smooth val="1"/>
        </c:ser>
        <c:axId val="22953450"/>
        <c:axId val="29054423"/>
      </c:scatterChart>
      <c:valAx>
        <c:axId val="229534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CTR (views / impressions)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54423"/>
        <c:crosses val="autoZero"/>
        <c:crossBetween val="midCat"/>
      </c:valAx>
      <c:valAx>
        <c:axId val="29054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5345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101160</xdr:rowOff>
    </xdr:from>
    <xdr:to>
      <xdr:col>7</xdr:col>
      <xdr:colOff>764280</xdr:colOff>
      <xdr:row>20</xdr:row>
      <xdr:rowOff>169560</xdr:rowOff>
    </xdr:to>
    <xdr:graphicFrame>
      <xdr:nvGraphicFramePr>
        <xdr:cNvPr id="0" name="Chart 1"/>
        <xdr:cNvGraphicFramePr/>
      </xdr:nvGraphicFramePr>
      <xdr:xfrm>
        <a:off x="0" y="144792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101160</xdr:rowOff>
    </xdr:from>
    <xdr:to>
      <xdr:col>15</xdr:col>
      <xdr:colOff>764280</xdr:colOff>
      <xdr:row>20</xdr:row>
      <xdr:rowOff>169560</xdr:rowOff>
    </xdr:to>
    <xdr:graphicFrame>
      <xdr:nvGraphicFramePr>
        <xdr:cNvPr id="1" name="Chart 2"/>
        <xdr:cNvGraphicFramePr/>
      </xdr:nvGraphicFramePr>
      <xdr:xfrm>
        <a:off x="6202800" y="144792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100800</xdr:rowOff>
    </xdr:from>
    <xdr:to>
      <xdr:col>7</xdr:col>
      <xdr:colOff>764280</xdr:colOff>
      <xdr:row>36</xdr:row>
      <xdr:rowOff>169560</xdr:rowOff>
    </xdr:to>
    <xdr:graphicFrame>
      <xdr:nvGraphicFramePr>
        <xdr:cNvPr id="2" name="Chart 3"/>
        <xdr:cNvGraphicFramePr/>
      </xdr:nvGraphicFramePr>
      <xdr:xfrm>
        <a:off x="0" y="449568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22</xdr:row>
      <xdr:rowOff>100800</xdr:rowOff>
    </xdr:from>
    <xdr:to>
      <xdr:col>15</xdr:col>
      <xdr:colOff>764280</xdr:colOff>
      <xdr:row>36</xdr:row>
      <xdr:rowOff>169560</xdr:rowOff>
    </xdr:to>
    <xdr:graphicFrame>
      <xdr:nvGraphicFramePr>
        <xdr:cNvPr id="3" name="Chart 4"/>
        <xdr:cNvGraphicFramePr/>
      </xdr:nvGraphicFramePr>
      <xdr:xfrm>
        <a:off x="6202800" y="449568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100800</xdr:rowOff>
    </xdr:from>
    <xdr:to>
      <xdr:col>7</xdr:col>
      <xdr:colOff>764280</xdr:colOff>
      <xdr:row>52</xdr:row>
      <xdr:rowOff>169560</xdr:rowOff>
    </xdr:to>
    <xdr:graphicFrame>
      <xdr:nvGraphicFramePr>
        <xdr:cNvPr id="4" name="Chart 5"/>
        <xdr:cNvGraphicFramePr/>
      </xdr:nvGraphicFramePr>
      <xdr:xfrm>
        <a:off x="0" y="754380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38</xdr:row>
      <xdr:rowOff>100800</xdr:rowOff>
    </xdr:from>
    <xdr:to>
      <xdr:col>15</xdr:col>
      <xdr:colOff>764280</xdr:colOff>
      <xdr:row>52</xdr:row>
      <xdr:rowOff>169560</xdr:rowOff>
    </xdr:to>
    <xdr:graphicFrame>
      <xdr:nvGraphicFramePr>
        <xdr:cNvPr id="5" name="Chart 6"/>
        <xdr:cNvGraphicFramePr/>
      </xdr:nvGraphicFramePr>
      <xdr:xfrm>
        <a:off x="6202800" y="754380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101160</xdr:rowOff>
    </xdr:from>
    <xdr:to>
      <xdr:col>7</xdr:col>
      <xdr:colOff>764280</xdr:colOff>
      <xdr:row>68</xdr:row>
      <xdr:rowOff>169560</xdr:rowOff>
    </xdr:to>
    <xdr:graphicFrame>
      <xdr:nvGraphicFramePr>
        <xdr:cNvPr id="6" name="Chart 7"/>
        <xdr:cNvGraphicFramePr/>
      </xdr:nvGraphicFramePr>
      <xdr:xfrm>
        <a:off x="0" y="1059192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54</xdr:row>
      <xdr:rowOff>101160</xdr:rowOff>
    </xdr:from>
    <xdr:to>
      <xdr:col>15</xdr:col>
      <xdr:colOff>764280</xdr:colOff>
      <xdr:row>68</xdr:row>
      <xdr:rowOff>169560</xdr:rowOff>
    </xdr:to>
    <xdr:graphicFrame>
      <xdr:nvGraphicFramePr>
        <xdr:cNvPr id="7" name="Chart 8"/>
        <xdr:cNvGraphicFramePr/>
      </xdr:nvGraphicFramePr>
      <xdr:xfrm>
        <a:off x="6202800" y="10591920"/>
        <a:ext cx="61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3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</row>
    <row r="6" customFormat="false" ht="30" hidden="false" customHeight="true" outlineLevel="0" collapsed="false">
      <c r="A6" s="4" t="s">
        <v>4</v>
      </c>
      <c r="B6" s="4"/>
      <c r="C6" s="4"/>
      <c r="D6" s="4"/>
    </row>
    <row r="8" customFormat="false" ht="15" hidden="false" customHeight="false" outlineLevel="0" collapsed="false">
      <c r="A8" s="3" t="s">
        <v>5</v>
      </c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4" t="s">
        <v>7</v>
      </c>
      <c r="B10" s="4"/>
      <c r="C10" s="4"/>
      <c r="D10" s="4"/>
    </row>
    <row r="11" customFormat="false" ht="15" hidden="false" customHeight="true" outlineLevel="0" collapsed="false">
      <c r="A11" s="4" t="s">
        <v>8</v>
      </c>
      <c r="B11" s="4"/>
      <c r="C11" s="4"/>
      <c r="D11" s="4"/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3" customFormat="false" ht="15" hidden="false" customHeight="true" outlineLevel="0" collapsed="false">
      <c r="A13" s="4" t="s">
        <v>10</v>
      </c>
      <c r="B13" s="4"/>
      <c r="C13" s="4"/>
      <c r="D13" s="4"/>
    </row>
    <row r="14" customFormat="false" ht="15" hidden="false" customHeight="true" outlineLevel="0" collapsed="false">
      <c r="A14" s="4" t="s">
        <v>11</v>
      </c>
      <c r="B14" s="4"/>
      <c r="C14" s="4"/>
      <c r="D14" s="4"/>
    </row>
    <row r="16" customFormat="false" ht="15" hidden="false" customHeight="false" outlineLevel="0" collapsed="false">
      <c r="A16" s="3" t="s">
        <v>12</v>
      </c>
    </row>
    <row r="17" customFormat="false" ht="15" hidden="false" customHeight="true" outlineLevel="0" collapsed="false">
      <c r="A17" s="4" t="s">
        <v>13</v>
      </c>
      <c r="B17" s="4"/>
      <c r="C17" s="4"/>
      <c r="D17" s="4"/>
    </row>
    <row r="18" customFormat="false" ht="15" hidden="false" customHeight="true" outlineLevel="0" collapsed="false">
      <c r="A18" s="4" t="s">
        <v>14</v>
      </c>
      <c r="B18" s="4"/>
      <c r="C18" s="4"/>
      <c r="D18" s="4"/>
    </row>
    <row r="19" customFormat="false" ht="15" hidden="false" customHeight="true" outlineLevel="0" collapsed="false">
      <c r="A19" s="4" t="s">
        <v>15</v>
      </c>
      <c r="B19" s="4"/>
      <c r="C19" s="4"/>
      <c r="D19" s="4"/>
    </row>
    <row r="20" customFormat="false" ht="15" hidden="false" customHeight="true" outlineLevel="0" collapsed="false">
      <c r="A20" s="4" t="s">
        <v>16</v>
      </c>
      <c r="B20" s="4"/>
      <c r="C20" s="4"/>
      <c r="D20" s="4"/>
    </row>
    <row r="21" customFormat="false" ht="15" hidden="false" customHeight="true" outlineLevel="0" collapsed="false">
      <c r="A21" s="4" t="s">
        <v>17</v>
      </c>
      <c r="B21" s="4"/>
      <c r="C21" s="4"/>
      <c r="D21" s="4"/>
    </row>
    <row r="22" customFormat="false" ht="15" hidden="false" customHeight="true" outlineLevel="0" collapsed="false">
      <c r="A22" s="4" t="s">
        <v>18</v>
      </c>
      <c r="B22" s="4"/>
      <c r="C22" s="4"/>
      <c r="D22" s="4"/>
    </row>
    <row r="23" customFormat="false" ht="15" hidden="false" customHeight="true" outlineLevel="0" collapsed="false">
      <c r="A23" s="4" t="s">
        <v>19</v>
      </c>
      <c r="B23" s="4"/>
      <c r="C23" s="4"/>
      <c r="D23" s="4"/>
    </row>
    <row r="24" customFormat="false" ht="15" hidden="false" customHeight="true" outlineLevel="0" collapsed="false">
      <c r="A24" s="4" t="s">
        <v>20</v>
      </c>
      <c r="B24" s="4"/>
      <c r="C24" s="4"/>
      <c r="D24" s="4"/>
    </row>
    <row r="26" customFormat="false" ht="15" hidden="false" customHeight="false" outlineLevel="0" collapsed="false">
      <c r="A26" s="3" t="s">
        <v>21</v>
      </c>
    </row>
    <row r="27" customFormat="false" ht="15" hidden="false" customHeight="true" outlineLevel="0" collapsed="false">
      <c r="A27" s="4" t="s">
        <v>22</v>
      </c>
      <c r="B27" s="4"/>
      <c r="C27" s="4"/>
      <c r="D27" s="4"/>
    </row>
    <row r="28" customFormat="false" ht="15" hidden="false" customHeight="true" outlineLevel="0" collapsed="false">
      <c r="A28" s="4" t="s">
        <v>23</v>
      </c>
      <c r="B28" s="4"/>
      <c r="C28" s="4"/>
      <c r="D28" s="4"/>
    </row>
    <row r="29" customFormat="false" ht="15" hidden="false" customHeight="true" outlineLevel="0" collapsed="false">
      <c r="A29" s="4" t="s">
        <v>24</v>
      </c>
      <c r="B29" s="4"/>
      <c r="C29" s="4"/>
      <c r="D29" s="4"/>
    </row>
    <row r="30" customFormat="false" ht="15" hidden="false" customHeight="true" outlineLevel="0" collapsed="false">
      <c r="A30" s="4" t="s">
        <v>25</v>
      </c>
      <c r="B30" s="4"/>
      <c r="C30" s="4"/>
      <c r="D30" s="4"/>
    </row>
    <row r="31" customFormat="false" ht="15" hidden="false" customHeight="true" outlineLevel="0" collapsed="false">
      <c r="A31" s="4" t="s">
        <v>26</v>
      </c>
      <c r="B31" s="4"/>
      <c r="C31" s="4"/>
      <c r="D31" s="4"/>
    </row>
    <row r="33" customFormat="false" ht="15" hidden="false" customHeight="false" outlineLevel="0" collapsed="false">
      <c r="A33" s="3" t="s">
        <v>27</v>
      </c>
    </row>
    <row r="34" customFormat="false" ht="30" hidden="false" customHeight="true" outlineLevel="0" collapsed="false">
      <c r="A34" s="4" t="s">
        <v>28</v>
      </c>
      <c r="B34" s="4"/>
      <c r="C34" s="4"/>
      <c r="D34" s="4"/>
    </row>
    <row r="35" customFormat="false" ht="15" hidden="false" customHeight="true" outlineLevel="0" collapsed="false">
      <c r="A35" s="4" t="s">
        <v>29</v>
      </c>
      <c r="B35" s="4"/>
      <c r="C35" s="4"/>
      <c r="D35" s="4"/>
    </row>
    <row r="36" customFormat="false" ht="30" hidden="false" customHeight="true" outlineLevel="0" collapsed="false">
      <c r="A36" s="4" t="s">
        <v>30</v>
      </c>
      <c r="B36" s="4"/>
      <c r="C36" s="4"/>
      <c r="D36" s="4"/>
    </row>
    <row r="37" customFormat="false" ht="15" hidden="false" customHeight="true" outlineLevel="0" collapsed="false">
      <c r="A37" s="4" t="s">
        <v>31</v>
      </c>
      <c r="B37" s="4"/>
      <c r="C37" s="4"/>
      <c r="D37" s="4"/>
    </row>
    <row r="38" customFormat="false" ht="15" hidden="false" customHeight="true" outlineLevel="0" collapsed="false">
      <c r="A38" s="4" t="s">
        <v>32</v>
      </c>
      <c r="B38" s="4"/>
      <c r="C38" s="4"/>
      <c r="D38" s="4"/>
    </row>
    <row r="40" customFormat="false" ht="15" hidden="false" customHeight="false" outlineLevel="0" collapsed="false">
      <c r="A40" s="3" t="s">
        <v>33</v>
      </c>
    </row>
    <row r="41" customFormat="false" ht="30" hidden="false" customHeight="true" outlineLevel="0" collapsed="false">
      <c r="A41" s="4" t="s">
        <v>34</v>
      </c>
      <c r="B41" s="4"/>
      <c r="C41" s="4"/>
      <c r="D41" s="4"/>
    </row>
    <row r="42" customFormat="false" ht="15" hidden="false" customHeight="true" outlineLevel="0" collapsed="false">
      <c r="A42" s="4" t="s">
        <v>35</v>
      </c>
      <c r="B42" s="4"/>
      <c r="C42" s="4"/>
      <c r="D42" s="4"/>
    </row>
    <row r="43" customFormat="false" ht="45" hidden="false" customHeight="true" outlineLevel="0" collapsed="false">
      <c r="A43" s="4" t="s">
        <v>36</v>
      </c>
      <c r="B43" s="4"/>
      <c r="C43" s="4"/>
      <c r="D43" s="4"/>
    </row>
    <row r="44" customFormat="false" ht="30" hidden="false" customHeight="true" outlineLevel="0" collapsed="false">
      <c r="A44" s="4" t="s">
        <v>37</v>
      </c>
      <c r="B44" s="4"/>
      <c r="C44" s="4"/>
      <c r="D44" s="4"/>
    </row>
    <row r="45" customFormat="false" ht="45" hidden="false" customHeight="true" outlineLevel="0" collapsed="false">
      <c r="A45" s="4" t="s">
        <v>38</v>
      </c>
      <c r="B45" s="4"/>
      <c r="C45" s="4"/>
      <c r="D45" s="4"/>
    </row>
    <row r="47" customFormat="false" ht="15" hidden="false" customHeight="false" outlineLevel="0" collapsed="false">
      <c r="A47" s="3" t="s">
        <v>39</v>
      </c>
    </row>
    <row r="48" customFormat="false" ht="15" hidden="false" customHeight="true" outlineLevel="0" collapsed="false">
      <c r="A48" s="4" t="s">
        <v>40</v>
      </c>
      <c r="B48" s="4"/>
      <c r="C48" s="4"/>
      <c r="D48" s="4"/>
    </row>
    <row r="49" customFormat="false" ht="15" hidden="false" customHeight="true" outlineLevel="0" collapsed="false">
      <c r="A49" s="4" t="s">
        <v>41</v>
      </c>
      <c r="B49" s="4"/>
      <c r="C49" s="4"/>
      <c r="D49" s="4"/>
    </row>
    <row r="50" customFormat="false" ht="15" hidden="false" customHeight="true" outlineLevel="0" collapsed="false">
      <c r="A50" s="4" t="s">
        <v>42</v>
      </c>
      <c r="B50" s="4"/>
      <c r="C50" s="4"/>
      <c r="D50" s="4"/>
    </row>
  </sheetData>
  <mergeCells count="34">
    <mergeCell ref="A5:D5"/>
    <mergeCell ref="A6:D6"/>
    <mergeCell ref="A9:D9"/>
    <mergeCell ref="A10:D10"/>
    <mergeCell ref="A11:D11"/>
    <mergeCell ref="A12:D12"/>
    <mergeCell ref="A13:D13"/>
    <mergeCell ref="A14:D14"/>
    <mergeCell ref="A17:D17"/>
    <mergeCell ref="A18:D18"/>
    <mergeCell ref="A19:D19"/>
    <mergeCell ref="A20:D20"/>
    <mergeCell ref="A21:D21"/>
    <mergeCell ref="A22:D22"/>
    <mergeCell ref="A23:D23"/>
    <mergeCell ref="A24:D24"/>
    <mergeCell ref="A27:D27"/>
    <mergeCell ref="A28:D28"/>
    <mergeCell ref="A29:D29"/>
    <mergeCell ref="A30:D30"/>
    <mergeCell ref="A31:D31"/>
    <mergeCell ref="A34:D34"/>
    <mergeCell ref="A35:D35"/>
    <mergeCell ref="A36:D36"/>
    <mergeCell ref="A37:D37"/>
    <mergeCell ref="A38:D38"/>
    <mergeCell ref="A41:D41"/>
    <mergeCell ref="A42:D42"/>
    <mergeCell ref="A43:D43"/>
    <mergeCell ref="A44:D44"/>
    <mergeCell ref="A45:D45"/>
    <mergeCell ref="A48:D48"/>
    <mergeCell ref="A49:D49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P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22.05" hidden="false" customHeight="false" outlineLevel="0" collapsed="false">
      <c r="A1" s="5" t="s">
        <v>43</v>
      </c>
    </row>
    <row r="2" customFormat="false" ht="15" hidden="false" customHeight="false" outlineLevel="0" collapsed="false">
      <c r="A2" s="6" t="s">
        <v>44</v>
      </c>
    </row>
    <row r="4" customFormat="false" ht="15" hidden="false" customHeight="false" outlineLevel="0" collapsed="false">
      <c r="A4" s="7" t="s">
        <v>45</v>
      </c>
      <c r="B4" s="7"/>
      <c r="C4" s="7" t="s">
        <v>46</v>
      </c>
      <c r="D4" s="7"/>
      <c r="E4" s="7" t="s">
        <v>47</v>
      </c>
      <c r="F4" s="7"/>
      <c r="G4" s="7" t="s">
        <v>48</v>
      </c>
      <c r="H4" s="7"/>
      <c r="I4" s="7" t="s">
        <v>49</v>
      </c>
      <c r="J4" s="7"/>
      <c r="K4" s="7" t="s">
        <v>50</v>
      </c>
      <c r="L4" s="7"/>
      <c r="M4" s="7" t="s">
        <v>51</v>
      </c>
      <c r="N4" s="7"/>
      <c r="O4" s="7" t="s">
        <v>52</v>
      </c>
      <c r="P4" s="7"/>
    </row>
    <row r="5" customFormat="false" ht="19.5" hidden="false" customHeight="true" outlineLevel="0" collapsed="false">
      <c r="A5" s="8" t="n">
        <f aca="false">COUNTA(Videos_Data!$A$2:$A$145)</f>
        <v>144</v>
      </c>
      <c r="B5" s="8"/>
      <c r="C5" s="8" t="n">
        <f aca="false">SUM(Videos_Data!$H$2:$H$145)</f>
        <v>5798478</v>
      </c>
      <c r="D5" s="8"/>
      <c r="E5" s="8" t="n">
        <f aca="false">SUM(Videos_Data!$L$2:$L$145)</f>
        <v>334375.8</v>
      </c>
      <c r="F5" s="8"/>
      <c r="G5" s="8" t="n">
        <f aca="false">SUM(Videos_Data!$M$2:$M$145)</f>
        <v>22063</v>
      </c>
      <c r="H5" s="8"/>
      <c r="I5" s="8" t="n">
        <f aca="false">SUM(Videos_Data!$H$2:$H$145)/COUNTA(Videos_Data!$A$2:$A$145)</f>
        <v>40267.2083333333</v>
      </c>
      <c r="J5" s="8"/>
      <c r="K5" s="9" t="n">
        <f aca="false">SUM(Videos_Data!$H$2:$H$145)/SUM(Videos_Data!$G$2:$G$145)</f>
        <v>0.0635231353977352</v>
      </c>
      <c r="L5" s="9"/>
      <c r="M5" s="10" t="n">
        <f aca="false">(SUM(Videos_Data!$I$2:$I$145)+SUM(Videos_Data!$J$2:$J$145)+SUM(Videos_Data!$K$2:$K$145))/SUM(Videos_Data!$H$2:$H$145)</f>
        <v>0.046621716940204</v>
      </c>
      <c r="N5" s="10"/>
      <c r="O5" s="11" t="str">
        <f aca="false">Insights!C5</f>
        <v>Career Guidance</v>
      </c>
      <c r="P5" s="11"/>
    </row>
    <row r="6" customFormat="false" ht="19.5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9"/>
      <c r="L6" s="9"/>
      <c r="M6" s="10"/>
      <c r="N6" s="10"/>
      <c r="O6" s="11"/>
      <c r="P6" s="11"/>
    </row>
  </sheetData>
  <mergeCells count="16">
    <mergeCell ref="A4:B4"/>
    <mergeCell ref="C4:D4"/>
    <mergeCell ref="E4:F4"/>
    <mergeCell ref="G4:H4"/>
    <mergeCell ref="I4:J4"/>
    <mergeCell ref="K4:L4"/>
    <mergeCell ref="M4:N4"/>
    <mergeCell ref="O4:P4"/>
    <mergeCell ref="A5:B6"/>
    <mergeCell ref="C5:D6"/>
    <mergeCell ref="E5:F6"/>
    <mergeCell ref="G5:H6"/>
    <mergeCell ref="I5:J6"/>
    <mergeCell ref="K5:L6"/>
    <mergeCell ref="M5:N6"/>
    <mergeCell ref="O5:P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2" t="s">
        <v>53</v>
      </c>
    </row>
    <row r="2" customFormat="false" ht="15" hidden="false" customHeight="false" outlineLevel="0" collapsed="false">
      <c r="A2" s="6" t="s">
        <v>54</v>
      </c>
    </row>
    <row r="4" customFormat="false" ht="15" hidden="false" customHeight="false" outlineLevel="0" collapsed="false">
      <c r="A4" s="13" t="s">
        <v>55</v>
      </c>
      <c r="B4" s="13" t="s">
        <v>56</v>
      </c>
      <c r="C4" s="13" t="s">
        <v>57</v>
      </c>
      <c r="D4" s="13" t="s">
        <v>58</v>
      </c>
      <c r="E4" s="13" t="s">
        <v>59</v>
      </c>
    </row>
    <row r="5" customFormat="false" ht="27.75" hidden="false" customHeight="true" outlineLevel="0" collapsed="false">
      <c r="A5" s="14" t="n">
        <v>1</v>
      </c>
      <c r="B5" s="15" t="s">
        <v>60</v>
      </c>
      <c r="C5" s="16" t="str">
        <f aca="false">INDEX(Content_Analysis!$A$5:$A$10,MATCH(MAX(Content_Analysis!$D$5:$D$10),Content_Analysis!$D$5:$D$10,0))</f>
        <v>Career Guidance</v>
      </c>
      <c r="D5" s="17" t="s">
        <v>61</v>
      </c>
      <c r="E5" s="18" t="n">
        <f aca="false">MAX(Content_Analysis!$D$5:$D$10)</f>
        <v>54498.3846153846</v>
      </c>
    </row>
    <row r="6" customFormat="false" ht="27.75" hidden="false" customHeight="true" outlineLevel="0" collapsed="false">
      <c r="A6" s="14" t="n">
        <v>2</v>
      </c>
      <c r="B6" s="15" t="s">
        <v>62</v>
      </c>
      <c r="C6" s="16" t="str">
        <f aca="false">INDEX(Content_Analysis!$A$5:$A$10,MATCH(MAX(Content_Analysis!$H$5:$H$10),Content_Analysis!$H$5:$H$10,0))</f>
        <v>Campus Vlogs</v>
      </c>
      <c r="D6" s="17" t="s">
        <v>63</v>
      </c>
      <c r="E6" s="19" t="n">
        <f aca="false">MAX(Content_Analysis!$H$5:$H$10)</f>
        <v>0.0626234493342617</v>
      </c>
    </row>
    <row r="7" customFormat="false" ht="27.75" hidden="false" customHeight="true" outlineLevel="0" collapsed="false">
      <c r="A7" s="14" t="n">
        <v>3</v>
      </c>
      <c r="B7" s="15" t="s">
        <v>64</v>
      </c>
      <c r="C7" s="16" t="str">
        <f aca="false">INDEX(Content_Analysis!$A$5:$A$10,MATCH(MAX(Content_Analysis!$J$5:$J$10),Content_Analysis!$J$5:$J$10,0))</f>
        <v>Career Guidance</v>
      </c>
      <c r="D7" s="17" t="s">
        <v>65</v>
      </c>
      <c r="E7" s="20" t="n">
        <f aca="false">MAX(Content_Analysis!$J$5:$J$10)</f>
        <v>0.00425559543755002</v>
      </c>
    </row>
    <row r="8" customFormat="false" ht="27.75" hidden="false" customHeight="true" outlineLevel="0" collapsed="false">
      <c r="A8" s="14" t="n">
        <v>4</v>
      </c>
      <c r="B8" s="15" t="s">
        <v>66</v>
      </c>
      <c r="C8" s="16" t="str">
        <f aca="false">INDEX(Timing_Trends!$A$5:$A$11,MATCH(MAX(Timing_Trends!$D$5:$D$11),Timing_Trends!$D$5:$D$11,0))</f>
        <v>Sat</v>
      </c>
      <c r="D8" s="17" t="s">
        <v>61</v>
      </c>
      <c r="E8" s="18" t="n">
        <f aca="false">MAX(Timing_Trends!$D$5:$D$11)</f>
        <v>52320.7826086957</v>
      </c>
    </row>
    <row r="9" customFormat="false" ht="27.75" hidden="false" customHeight="true" outlineLevel="0" collapsed="false">
      <c r="A9" s="14" t="n">
        <v>5</v>
      </c>
      <c r="B9" s="15" t="s">
        <v>67</v>
      </c>
      <c r="C9" s="16" t="str">
        <f aca="false">IF(Timing_Trends!D18&gt;=Timing_Trends!D17,"Weekend","Weekday")</f>
        <v>Weekend</v>
      </c>
      <c r="D9" s="17" t="s">
        <v>68</v>
      </c>
      <c r="E9" s="21" t="n">
        <f aca="false">MAX(Timing_Trends!D17,Timing_Trends!D18)/MIN(Timing_Trends!D17,Timing_Trends!D18)-1</f>
        <v>0.214598486337051</v>
      </c>
    </row>
    <row r="10" customFormat="false" ht="27.75" hidden="false" customHeight="true" outlineLevel="0" collapsed="false">
      <c r="A10" s="14" t="n">
        <v>6</v>
      </c>
      <c r="B10" s="15" t="s">
        <v>69</v>
      </c>
      <c r="C10" s="16" t="str">
        <f aca="false">INDEX(Content_Analysis!$A$24:$A$27,MATCH(MAX(Content_Analysis!$D$24:$D$27),Content_Analysis!$D$24:$D$27,0))</f>
        <v>5-10 min</v>
      </c>
      <c r="D10" s="17" t="s">
        <v>61</v>
      </c>
      <c r="E10" s="18" t="n">
        <f aca="false">MAX(Content_Analysis!$D$24:$D$27)</f>
        <v>37628.8695652174</v>
      </c>
    </row>
    <row r="11" customFormat="false" ht="27.75" hidden="false" customHeight="true" outlineLevel="0" collapsed="false">
      <c r="A11" s="14" t="n">
        <v>7</v>
      </c>
      <c r="B11" s="15" t="s">
        <v>70</v>
      </c>
      <c r="C11" s="16" t="str">
        <f aca="false">INDEX(Content_Analysis!$A$16:$A$17,MATCH(MAX(Content_Analysis!$D$16:$D$17),Content_Analysis!$D$16:$D$17,0))</f>
        <v>Short</v>
      </c>
      <c r="D11" s="17" t="s">
        <v>61</v>
      </c>
      <c r="E11" s="18" t="n">
        <f aca="false">MAX(Content_Analysis!$D$16:$D$17)</f>
        <v>62866.4722222222</v>
      </c>
    </row>
    <row r="12" customFormat="false" ht="27.75" hidden="false" customHeight="true" outlineLevel="0" collapsed="false">
      <c r="A12" s="14" t="n">
        <v>8</v>
      </c>
      <c r="B12" s="15" t="s">
        <v>71</v>
      </c>
      <c r="C12" s="16" t="str">
        <f aca="false">IF(Content_Analysis!E16&gt;=Content_Analysis!E17,"Long-form","Short")</f>
        <v>Long-form</v>
      </c>
      <c r="D12" s="17" t="s">
        <v>72</v>
      </c>
      <c r="E12" s="21" t="n">
        <f aca="false">MAX(Content_Analysis!E16,Content_Analysis!E17)/Content_Analysis!E18</f>
        <v>0.937843288898299</v>
      </c>
    </row>
    <row r="13" customFormat="false" ht="27.75" hidden="false" customHeight="true" outlineLevel="0" collapsed="false">
      <c r="A13" s="14" t="n">
        <v>9</v>
      </c>
      <c r="B13" s="15" t="s">
        <v>73</v>
      </c>
      <c r="C13" s="16" t="str">
        <f aca="false">INDEX(Audience_Data!$A$43:$A$49,MATCH(MAX(Audience_Data!$B$43:$B$49),Audience_Data!$B$43:$B$49,0))</f>
        <v>Suggested videos</v>
      </c>
      <c r="D13" s="17" t="s">
        <v>74</v>
      </c>
      <c r="E13" s="21" t="n">
        <f aca="false">MAX(Audience_Data!$B$43:$B$49)</f>
        <v>0.27</v>
      </c>
    </row>
    <row r="14" customFormat="false" ht="27.75" hidden="false" customHeight="true" outlineLevel="0" collapsed="false">
      <c r="A14" s="14" t="n">
        <v>10</v>
      </c>
      <c r="B14" s="15" t="s">
        <v>75</v>
      </c>
      <c r="C14" s="16" t="str">
        <f aca="false">INDEX(Audience_Data!$A$7:$A$12,MATCH(MAX(Audience_Data!$E$7:$E$12),Audience_Data!$E$7:$E$12,0))</f>
        <v>18-24</v>
      </c>
      <c r="D14" s="17" t="s">
        <v>74</v>
      </c>
      <c r="E14" s="21" t="n">
        <f aca="false">MAX(Audience_Data!$E$7:$E$12)</f>
        <v>0.43</v>
      </c>
    </row>
    <row r="15" customFormat="false" ht="27.75" hidden="false" customHeight="true" outlineLevel="0" collapsed="false">
      <c r="A15" s="14" t="n">
        <v>11</v>
      </c>
      <c r="B15" s="15" t="s">
        <v>76</v>
      </c>
      <c r="C15" s="16" t="str">
        <f aca="false">INDEX(Audience_Data!$A$24:$A$29,MATCH(MAX(Audience_Data!$B$24:$B$29),Audience_Data!$B$24:$B$29,0))</f>
        <v>India</v>
      </c>
      <c r="D15" s="17" t="s">
        <v>74</v>
      </c>
      <c r="E15" s="21" t="n">
        <f aca="false">MAX(Audience_Data!$B$24:$B$29)</f>
        <v>0.71</v>
      </c>
    </row>
    <row r="16" customFormat="false" ht="27.75" hidden="false" customHeight="true" outlineLevel="0" collapsed="false">
      <c r="A16" s="14" t="n">
        <v>12</v>
      </c>
      <c r="B16" s="15" t="s">
        <v>77</v>
      </c>
      <c r="C16" s="16" t="str">
        <f aca="false">INDEX(Audience_Data!$A$34:$A$37,MATCH(MAX(Audience_Data!$B$34:$B$37),Audience_Data!$B$34:$B$37,0))</f>
        <v>Mobile</v>
      </c>
      <c r="D16" s="17" t="s">
        <v>74</v>
      </c>
      <c r="E16" s="21" t="n">
        <f aca="false">MAX(Audience_Data!$B$34:$B$37)</f>
        <v>0.76</v>
      </c>
    </row>
    <row r="17" customFormat="false" ht="27.75" hidden="false" customHeight="true" outlineLevel="0" collapsed="false">
      <c r="A17" s="14" t="n">
        <v>13</v>
      </c>
      <c r="B17" s="15" t="s">
        <v>78</v>
      </c>
      <c r="C17" s="16" t="str">
        <f aca="false">INDEX(Audience_Data!$A$18:$A$20,MATCH(MAX(Audience_Data!$B$18:$B$20),Audience_Data!$B$18:$B$20,0))</f>
        <v>Male</v>
      </c>
      <c r="D17" s="17" t="s">
        <v>74</v>
      </c>
      <c r="E17" s="21" t="n">
        <f aca="false">MAX(Audience_Data!$B$18:$B$20)</f>
        <v>0.637</v>
      </c>
    </row>
    <row r="18" customFormat="false" ht="27.75" hidden="false" customHeight="true" outlineLevel="0" collapsed="false">
      <c r="A18" s="14" t="n">
        <v>14</v>
      </c>
      <c r="B18" s="15" t="s">
        <v>79</v>
      </c>
      <c r="C18" s="16" t="str">
        <f aca="false">IF(E18&gt;=0,"Growing","Declining")</f>
        <v>Growing</v>
      </c>
      <c r="D18" s="17" t="s">
        <v>80</v>
      </c>
      <c r="E18" s="21" t="n">
        <f aca="false">AVERAGE(Timing_Trends!D34:D36)/AVERAGE(Timing_Trends!D25:D27)-1</f>
        <v>0.52581118895187</v>
      </c>
    </row>
    <row r="19" customFormat="false" ht="27.75" hidden="false" customHeight="true" outlineLevel="0" collapsed="false">
      <c r="A19" s="14" t="n">
        <v>15</v>
      </c>
      <c r="B19" s="15" t="s">
        <v>81</v>
      </c>
      <c r="C19" s="16" t="str">
        <f aca="false">Timing_Trends!B42</f>
        <v>Sep 26</v>
      </c>
      <c r="D19" s="17" t="s">
        <v>82</v>
      </c>
      <c r="E19" s="18" t="n">
        <f aca="false">Timing_Trends!D42</f>
        <v>580185</v>
      </c>
    </row>
    <row r="21" customFormat="false" ht="15" hidden="false" customHeight="false" outlineLevel="0" collapsed="false">
      <c r="A21" s="3" t="s">
        <v>83</v>
      </c>
    </row>
    <row r="22" customFormat="false" ht="33.75" hidden="false" customHeight="true" outlineLevel="0" collapsed="false">
      <c r="A22" s="14" t="n">
        <v>1</v>
      </c>
      <c r="B22" s="15" t="str">
        <f aca="false">"Content mix: prioritise "&amp;C5&amp;" ("&amp;TEXT(E5,"#,##0")&amp;" avg views per video). "&amp;IF(C5=C7,"It is also the best category for converting viewers into subscribers ("&amp;TEXT(E7,"0.00%")&amp;" of viewers subscribe).","Use "&amp;C7&amp;" content to convert viewers into subscribers ("&amp;TEXT(E7,"0.00%")&amp;" of viewers subscribe).")</f>
        <v>Content mix: prioritise Career Guidance (54,498 avg views per video). It is also the best category for converting viewers into subscribers (0.43% of viewers subscribe).</v>
      </c>
      <c r="C22" s="15"/>
      <c r="D22" s="15"/>
      <c r="E22" s="15"/>
    </row>
    <row r="23" customFormat="false" ht="33.75" hidden="false" customHeight="true" outlineLevel="0" collapsed="false">
      <c r="A23" s="14" t="n">
        <v>2</v>
      </c>
      <c r="B23" s="15" t="str">
        <f aca="false">"Posting schedule: publish flagship videos on "&amp;C8&amp;"; "&amp;C9&amp;" uploads beat the alternative by "&amp;TEXT(E9,"0.0%")&amp;". Test other slots for 4 weeks before committing."</f>
        <v>Posting schedule: publish flagship videos on Sat; Weekend uploads beat the alternative by 21.5%. Test other slots for 4 weeks before committing.</v>
      </c>
      <c r="C23" s="15"/>
      <c r="D23" s="15"/>
      <c r="E23" s="15"/>
    </row>
    <row r="24" customFormat="false" ht="33.75" hidden="false" customHeight="true" outlineLevel="0" collapsed="false">
      <c r="A24" s="14" t="n">
        <v>3</v>
      </c>
      <c r="B24" s="15" t="str">
        <f aca="false">"Video length: for long-form videos aim for the "&amp;C10&amp;" range, which has the highest average views per video ("&amp;TEXT(E10,"#,##0")&amp;")."</f>
        <v>Video length: for long-form videos aim for the 5-10 min range, which has the highest average views per video (37,629).</v>
      </c>
      <c r="C24" s="15"/>
      <c r="D24" s="15"/>
      <c r="E24" s="15"/>
    </row>
    <row r="25" customFormat="false" ht="33.75" hidden="false" customHeight="true" outlineLevel="0" collapsed="false">
      <c r="A25" s="14" t="n">
        <v>4</v>
      </c>
      <c r="B25" s="15" t="str">
        <f aca="false">"Formats: "&amp;C11&amp;" wins on views per video, while "&amp;C12&amp;" drives "&amp;TEXT(E12,"0.0%")&amp;" of watch hours. Use Shorts as a discovery funnel that points to long-form videos."</f>
        <v>Formats: Short wins on views per video, while Long-form drives 93.8% of watch hours. Use Shorts as a discovery funnel that points to long-form videos.</v>
      </c>
      <c r="C25" s="15"/>
      <c r="D25" s="15"/>
      <c r="E25" s="15"/>
    </row>
    <row r="26" customFormat="false" ht="33.75" hidden="false" customHeight="true" outlineLevel="0" collapsed="false">
      <c r="A26" s="14" t="n">
        <v>5</v>
      </c>
      <c r="B26" s="15" t="str">
        <f aca="false">"Audience: design hooks and thumbnails for the "&amp;C14&amp;" age group ("&amp;TEXT(E14,"0.0%")&amp;" of views), mostly watching on "&amp;C16&amp;" and located in "&amp;C15&amp;"."</f>
        <v>Audience: design hooks and thumbnails for the 18-24 age group (43.0% of views), mostly watching on Mobile and located in India.</v>
      </c>
      <c r="C26" s="15"/>
      <c r="D26" s="15"/>
      <c r="E26" s="15"/>
    </row>
    <row r="27" customFormat="false" ht="33.75" hidden="false" customHeight="true" outlineLevel="0" collapsed="false">
      <c r="A27" s="14" t="n">
        <v>6</v>
      </c>
      <c r="B27" s="15" t="str">
        <f aca="false">"Discovery: "&amp;C13&amp;" is the largest traffic source ("&amp;TEXT(E13,"0.0%")&amp;" of views). Optimise titles, thumbnails and metadata for it."</f>
        <v>Discovery: Suggested videos is the largest traffic source (27.0% of views). Optimise titles, thumbnails and metadata for it.</v>
      </c>
      <c r="C27" s="15"/>
      <c r="D27" s="15"/>
      <c r="E27" s="15"/>
    </row>
    <row r="28" customFormat="false" ht="33.75" hidden="false" customHeight="true" outlineLevel="0" collapsed="false">
      <c r="A28" s="14" t="n">
        <v>7</v>
      </c>
      <c r="B28" s="15" t="str">
        <f aca="false">"Growth: average monthly views are "&amp;LOWER(C18)&amp;" ("&amp;TEXT(E18,"0.0%")&amp;"); the linear trend projects about "&amp;TEXT(E19,"#,##0")&amp;" views next month."</f>
        <v>Growth: average monthly views are growing (52.6%); the linear trend projects about 580,185 views next month.</v>
      </c>
      <c r="C28" s="15"/>
      <c r="D28" s="15"/>
      <c r="E28" s="15"/>
    </row>
    <row r="30" customFormat="false" ht="15" hidden="false" customHeight="false" outlineLevel="0" collapsed="false">
      <c r="A30" s="3" t="s">
        <v>84</v>
      </c>
    </row>
    <row r="31" customFormat="false" ht="30" hidden="false" customHeight="true" outlineLevel="0" collapsed="false">
      <c r="A31" s="4" t="s">
        <v>85</v>
      </c>
      <c r="B31" s="4"/>
      <c r="C31" s="4"/>
      <c r="D31" s="4"/>
      <c r="E31" s="4"/>
    </row>
    <row r="32" customFormat="false" ht="30" hidden="false" customHeight="true" outlineLevel="0" collapsed="false">
      <c r="A32" s="4" t="s">
        <v>86</v>
      </c>
      <c r="B32" s="4"/>
      <c r="C32" s="4"/>
      <c r="D32" s="4"/>
      <c r="E32" s="4"/>
    </row>
    <row r="33" customFormat="false" ht="30" hidden="false" customHeight="true" outlineLevel="0" collapsed="false">
      <c r="A33" s="4" t="s">
        <v>87</v>
      </c>
      <c r="B33" s="4"/>
      <c r="C33" s="4"/>
      <c r="D33" s="4"/>
      <c r="E33" s="4"/>
    </row>
    <row r="34" customFormat="false" ht="30" hidden="false" customHeight="true" outlineLevel="0" collapsed="false">
      <c r="A34" s="4" t="s">
        <v>88</v>
      </c>
      <c r="B34" s="4"/>
      <c r="C34" s="4"/>
      <c r="D34" s="4"/>
      <c r="E34" s="4"/>
    </row>
  </sheetData>
  <mergeCells count="11">
    <mergeCell ref="B22:E22"/>
    <mergeCell ref="B23:E23"/>
    <mergeCell ref="B24:E24"/>
    <mergeCell ref="B25:E25"/>
    <mergeCell ref="B26:E26"/>
    <mergeCell ref="B27:E27"/>
    <mergeCell ref="B28:E28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V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2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8" min="16" style="0" width="12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12"/>
  </cols>
  <sheetData>
    <row r="1" customFormat="false" ht="31.5" hidden="false" customHeight="true" outlineLevel="0" collapsed="false">
      <c r="A1" s="13" t="s">
        <v>89</v>
      </c>
      <c r="B1" s="13" t="s">
        <v>90</v>
      </c>
      <c r="C1" s="13" t="s">
        <v>91</v>
      </c>
      <c r="D1" s="13" t="s">
        <v>92</v>
      </c>
      <c r="E1" s="13" t="s">
        <v>93</v>
      </c>
      <c r="F1" s="13" t="s">
        <v>94</v>
      </c>
      <c r="G1" s="13" t="s">
        <v>95</v>
      </c>
      <c r="H1" s="13" t="s">
        <v>96</v>
      </c>
      <c r="I1" s="13" t="s">
        <v>97</v>
      </c>
      <c r="J1" s="13" t="s">
        <v>98</v>
      </c>
      <c r="K1" s="13" t="s">
        <v>99</v>
      </c>
      <c r="L1" s="13" t="s">
        <v>100</v>
      </c>
      <c r="M1" s="13" t="s">
        <v>48</v>
      </c>
      <c r="N1" s="22" t="s">
        <v>101</v>
      </c>
      <c r="O1" s="22" t="s">
        <v>102</v>
      </c>
      <c r="P1" s="22" t="s">
        <v>103</v>
      </c>
      <c r="Q1" s="22" t="s">
        <v>51</v>
      </c>
      <c r="R1" s="22" t="s">
        <v>104</v>
      </c>
      <c r="S1" s="22" t="s">
        <v>105</v>
      </c>
      <c r="T1" s="22" t="s">
        <v>106</v>
      </c>
      <c r="U1" s="22" t="s">
        <v>107</v>
      </c>
      <c r="V1" s="22" t="s">
        <v>108</v>
      </c>
    </row>
    <row r="2" customFormat="false" ht="15" hidden="false" customHeight="false" outlineLevel="0" collapsed="false">
      <c r="A2" s="17" t="s">
        <v>109</v>
      </c>
      <c r="B2" s="17" t="s">
        <v>110</v>
      </c>
      <c r="C2" s="17" t="s">
        <v>111</v>
      </c>
      <c r="D2" s="17" t="s">
        <v>112</v>
      </c>
      <c r="E2" s="23" t="n">
        <v>45901</v>
      </c>
      <c r="F2" s="24" t="n">
        <v>13.9</v>
      </c>
      <c r="G2" s="18" t="n">
        <v>685918</v>
      </c>
      <c r="H2" s="18" t="n">
        <v>46459</v>
      </c>
      <c r="I2" s="18" t="n">
        <v>2639</v>
      </c>
      <c r="J2" s="18" t="n">
        <v>157</v>
      </c>
      <c r="K2" s="18" t="n">
        <v>165</v>
      </c>
      <c r="L2" s="25" t="n">
        <v>4981</v>
      </c>
      <c r="M2" s="18" t="n">
        <v>307</v>
      </c>
      <c r="N2" s="26" t="n">
        <f aca="false">DATE(YEAR(E2),MONTH(E2),1)</f>
        <v>45901</v>
      </c>
      <c r="O2" s="17" t="str">
        <f aca="false">CHOOSE(WEEKDAY(E2,2),"Mon","Tue","Wed","Thu","Fri","Sat","Sun")</f>
        <v>Mon</v>
      </c>
      <c r="P2" s="21" t="n">
        <f aca="false">IFERROR(H2/G2,0)</f>
        <v>0.0677325861108762</v>
      </c>
      <c r="Q2" s="19" t="n">
        <f aca="false">IFERROR((I2+J2+K2)/H2,0)</f>
        <v>0.0637336145849028</v>
      </c>
      <c r="R2" s="27" t="n">
        <f aca="false">IFERROR(L2*60/H2,0)</f>
        <v>6.43276867775888</v>
      </c>
      <c r="S2" s="21" t="n">
        <f aca="false">IFERROR(R2/F2,0)</f>
        <v>0.462789113507833</v>
      </c>
      <c r="T2" s="20" t="n">
        <f aca="false">IFERROR(M2/H2,0)</f>
        <v>0.00660797692589165</v>
      </c>
      <c r="U2" s="17" t="str">
        <f aca="false">IF(F2&lt;1,"Under 1 min",IF(F2&lt;5,"1-5 min",IF(F2&lt;10,"5-10 min",IF(F2&lt;20,"10-20 min","20+ min"))))</f>
        <v>10-20 min</v>
      </c>
      <c r="V2" s="17" t="str">
        <f aca="false">IF(WEEKDAY(E2,2)&gt;5,"Weekend","Weekday")</f>
        <v>Weekday</v>
      </c>
    </row>
    <row r="3" customFormat="false" ht="15" hidden="false" customHeight="false" outlineLevel="0" collapsed="false">
      <c r="A3" s="17" t="s">
        <v>113</v>
      </c>
      <c r="B3" s="17" t="s">
        <v>114</v>
      </c>
      <c r="C3" s="17" t="s">
        <v>115</v>
      </c>
      <c r="D3" s="17" t="s">
        <v>112</v>
      </c>
      <c r="E3" s="23" t="n">
        <v>45904</v>
      </c>
      <c r="F3" s="24" t="n">
        <v>13</v>
      </c>
      <c r="G3" s="18" t="n">
        <v>778862</v>
      </c>
      <c r="H3" s="18" t="n">
        <v>50782</v>
      </c>
      <c r="I3" s="18" t="n">
        <v>1890</v>
      </c>
      <c r="J3" s="18" t="n">
        <v>187</v>
      </c>
      <c r="K3" s="18" t="n">
        <v>160</v>
      </c>
      <c r="L3" s="25" t="n">
        <v>4730.3</v>
      </c>
      <c r="M3" s="18" t="n">
        <v>267</v>
      </c>
      <c r="N3" s="26" t="n">
        <f aca="false">DATE(YEAR(E3),MONTH(E3),1)</f>
        <v>45901</v>
      </c>
      <c r="O3" s="17" t="str">
        <f aca="false">CHOOSE(WEEKDAY(E3,2),"Mon","Tue","Wed","Thu","Fri","Sat","Sun")</f>
        <v>Thu</v>
      </c>
      <c r="P3" s="21" t="n">
        <f aca="false">IFERROR(H3/G3,0)</f>
        <v>0.0652002537034802</v>
      </c>
      <c r="Q3" s="19" t="n">
        <f aca="false">IFERROR((I3+J3+K3)/H3,0)</f>
        <v>0.0440510417076917</v>
      </c>
      <c r="R3" s="27" t="n">
        <f aca="false">IFERROR(L3*60/H3,0)</f>
        <v>5.58894884014021</v>
      </c>
      <c r="S3" s="21" t="n">
        <f aca="false">IFERROR(R3/F3,0)</f>
        <v>0.429919141549247</v>
      </c>
      <c r="T3" s="20" t="n">
        <f aca="false">IFERROR(M3/H3,0)</f>
        <v>0.00525776850064984</v>
      </c>
      <c r="U3" s="17" t="str">
        <f aca="false">IF(F3&lt;1,"Under 1 min",IF(F3&lt;5,"1-5 min",IF(F3&lt;10,"5-10 min",IF(F3&lt;20,"10-20 min","20+ min"))))</f>
        <v>10-20 min</v>
      </c>
      <c r="V3" s="17" t="str">
        <f aca="false">IF(WEEKDAY(E3,2)&gt;5,"Weekend","Weekday")</f>
        <v>Weekday</v>
      </c>
    </row>
    <row r="4" customFormat="false" ht="15" hidden="false" customHeight="false" outlineLevel="0" collapsed="false">
      <c r="A4" s="17" t="s">
        <v>116</v>
      </c>
      <c r="B4" s="17" t="s">
        <v>117</v>
      </c>
      <c r="C4" s="17" t="s">
        <v>118</v>
      </c>
      <c r="D4" s="17" t="s">
        <v>112</v>
      </c>
      <c r="E4" s="23" t="n">
        <v>45909</v>
      </c>
      <c r="F4" s="24" t="n">
        <v>10.1</v>
      </c>
      <c r="G4" s="18" t="n">
        <v>264296</v>
      </c>
      <c r="H4" s="18" t="n">
        <v>17428</v>
      </c>
      <c r="I4" s="18" t="n">
        <v>787</v>
      </c>
      <c r="J4" s="18" t="n">
        <v>65</v>
      </c>
      <c r="K4" s="18" t="n">
        <v>103</v>
      </c>
      <c r="L4" s="25" t="n">
        <v>1533.2</v>
      </c>
      <c r="M4" s="18" t="n">
        <v>76</v>
      </c>
      <c r="N4" s="26" t="n">
        <f aca="false">DATE(YEAR(E4),MONTH(E4),1)</f>
        <v>45901</v>
      </c>
      <c r="O4" s="17" t="str">
        <f aca="false">CHOOSE(WEEKDAY(E4,2),"Mon","Tue","Wed","Thu","Fri","Sat","Sun")</f>
        <v>Tue</v>
      </c>
      <c r="P4" s="21" t="n">
        <f aca="false">IFERROR(H4/G4,0)</f>
        <v>0.0659412174228895</v>
      </c>
      <c r="Q4" s="19" t="n">
        <f aca="false">IFERROR((I4+J4+K4)/H4,0)</f>
        <v>0.0547968785861832</v>
      </c>
      <c r="R4" s="27" t="n">
        <f aca="false">IFERROR(L4*60/H4,0)</f>
        <v>5.27840257057609</v>
      </c>
      <c r="S4" s="21" t="n">
        <f aca="false">IFERROR(R4/F4,0)</f>
        <v>0.522614115898622</v>
      </c>
      <c r="T4" s="20" t="n">
        <f aca="false">IFERROR(M4/H4,0)</f>
        <v>0.00436079871471196</v>
      </c>
      <c r="U4" s="17" t="str">
        <f aca="false">IF(F4&lt;1,"Under 1 min",IF(F4&lt;5,"1-5 min",IF(F4&lt;10,"5-10 min",IF(F4&lt;20,"10-20 min","20+ min"))))</f>
        <v>10-20 min</v>
      </c>
      <c r="V4" s="17" t="str">
        <f aca="false">IF(WEEKDAY(E4,2)&gt;5,"Weekend","Weekday")</f>
        <v>Weekday</v>
      </c>
    </row>
    <row r="5" customFormat="false" ht="15" hidden="false" customHeight="false" outlineLevel="0" collapsed="false">
      <c r="A5" s="17" t="s">
        <v>119</v>
      </c>
      <c r="B5" s="17" t="s">
        <v>120</v>
      </c>
      <c r="C5" s="17" t="s">
        <v>115</v>
      </c>
      <c r="D5" s="17" t="s">
        <v>121</v>
      </c>
      <c r="E5" s="23" t="n">
        <v>45911</v>
      </c>
      <c r="F5" s="24" t="n">
        <v>0.71</v>
      </c>
      <c r="G5" s="18" t="n">
        <v>391422</v>
      </c>
      <c r="H5" s="18" t="n">
        <v>25971</v>
      </c>
      <c r="I5" s="18" t="n">
        <v>861</v>
      </c>
      <c r="J5" s="18" t="n">
        <v>7</v>
      </c>
      <c r="K5" s="18" t="n">
        <v>168</v>
      </c>
      <c r="L5" s="25" t="n">
        <v>307.3</v>
      </c>
      <c r="M5" s="18" t="n">
        <v>36</v>
      </c>
      <c r="N5" s="26" t="n">
        <f aca="false">DATE(YEAR(E5),MONTH(E5),1)</f>
        <v>45901</v>
      </c>
      <c r="O5" s="17" t="str">
        <f aca="false">CHOOSE(WEEKDAY(E5,2),"Mon","Tue","Wed","Thu","Fri","Sat","Sun")</f>
        <v>Thu</v>
      </c>
      <c r="P5" s="21" t="n">
        <f aca="false">IFERROR(H5/G5,0)</f>
        <v>0.0663503839845487</v>
      </c>
      <c r="Q5" s="19" t="n">
        <f aca="false">IFERROR((I5+J5+K5)/H5,0)</f>
        <v>0.0398906472604058</v>
      </c>
      <c r="R5" s="27" t="n">
        <f aca="false">IFERROR(L5*60/H5,0)</f>
        <v>0.709945708675061</v>
      </c>
      <c r="S5" s="21" t="n">
        <f aca="false">IFERROR(R5/F5,0)</f>
        <v>0.999923533345156</v>
      </c>
      <c r="T5" s="20" t="n">
        <f aca="false">IFERROR(M5/H5,0)</f>
        <v>0.00138616148781333</v>
      </c>
      <c r="U5" s="17" t="str">
        <f aca="false">IF(F5&lt;1,"Under 1 min",IF(F5&lt;5,"1-5 min",IF(F5&lt;10,"5-10 min",IF(F5&lt;20,"10-20 min","20+ min"))))</f>
        <v>Under 1 min</v>
      </c>
      <c r="V5" s="17" t="str">
        <f aca="false">IF(WEEKDAY(E5,2)&gt;5,"Weekend","Weekday")</f>
        <v>Weekday</v>
      </c>
    </row>
    <row r="6" customFormat="false" ht="15" hidden="false" customHeight="false" outlineLevel="0" collapsed="false">
      <c r="A6" s="17" t="s">
        <v>122</v>
      </c>
      <c r="B6" s="17" t="s">
        <v>123</v>
      </c>
      <c r="C6" s="17" t="s">
        <v>115</v>
      </c>
      <c r="D6" s="17" t="s">
        <v>112</v>
      </c>
      <c r="E6" s="23" t="n">
        <v>45917</v>
      </c>
      <c r="F6" s="24" t="n">
        <v>16.3</v>
      </c>
      <c r="G6" s="18" t="n">
        <v>362080</v>
      </c>
      <c r="H6" s="18" t="n">
        <v>20977</v>
      </c>
      <c r="I6" s="18" t="n">
        <v>838</v>
      </c>
      <c r="J6" s="18" t="n">
        <v>76</v>
      </c>
      <c r="K6" s="18" t="n">
        <v>114</v>
      </c>
      <c r="L6" s="25" t="n">
        <v>2213.3</v>
      </c>
      <c r="M6" s="18" t="n">
        <v>68</v>
      </c>
      <c r="N6" s="26" t="n">
        <f aca="false">DATE(YEAR(E6),MONTH(E6),1)</f>
        <v>45901</v>
      </c>
      <c r="O6" s="17" t="str">
        <f aca="false">CHOOSE(WEEKDAY(E6,2),"Mon","Tue","Wed","Thu","Fri","Sat","Sun")</f>
        <v>Wed</v>
      </c>
      <c r="P6" s="21" t="n">
        <f aca="false">IFERROR(H6/G6,0)</f>
        <v>0.0579347105612019</v>
      </c>
      <c r="Q6" s="19" t="n">
        <f aca="false">IFERROR((I6+J6+K6)/H6,0)</f>
        <v>0.0490060542498927</v>
      </c>
      <c r="R6" s="27" t="n">
        <f aca="false">IFERROR(L6*60/H6,0)</f>
        <v>6.33064785240978</v>
      </c>
      <c r="S6" s="21" t="n">
        <f aca="false">IFERROR(R6/F6,0)</f>
        <v>0.388383303828821</v>
      </c>
      <c r="T6" s="20" t="n">
        <f aca="false">IFERROR(M6/H6,0)</f>
        <v>0.00324164561186061</v>
      </c>
      <c r="U6" s="17" t="str">
        <f aca="false">IF(F6&lt;1,"Under 1 min",IF(F6&lt;5,"1-5 min",IF(F6&lt;10,"5-10 min",IF(F6&lt;20,"10-20 min","20+ min"))))</f>
        <v>10-20 min</v>
      </c>
      <c r="V6" s="17" t="str">
        <f aca="false">IF(WEEKDAY(E6,2)&gt;5,"Weekend","Weekday")</f>
        <v>Weekday</v>
      </c>
    </row>
    <row r="7" customFormat="false" ht="15" hidden="false" customHeight="false" outlineLevel="0" collapsed="false">
      <c r="A7" s="17" t="s">
        <v>124</v>
      </c>
      <c r="B7" s="17" t="s">
        <v>125</v>
      </c>
      <c r="C7" s="17" t="s">
        <v>115</v>
      </c>
      <c r="D7" s="17" t="s">
        <v>112</v>
      </c>
      <c r="E7" s="23" t="n">
        <v>45922</v>
      </c>
      <c r="F7" s="24" t="n">
        <v>11.4</v>
      </c>
      <c r="G7" s="18" t="n">
        <v>389115</v>
      </c>
      <c r="H7" s="18" t="n">
        <v>24309</v>
      </c>
      <c r="I7" s="18" t="n">
        <v>873</v>
      </c>
      <c r="J7" s="18" t="n">
        <v>55</v>
      </c>
      <c r="K7" s="18" t="n">
        <v>94</v>
      </c>
      <c r="L7" s="25" t="n">
        <v>2060.1</v>
      </c>
      <c r="M7" s="18" t="n">
        <v>101</v>
      </c>
      <c r="N7" s="26" t="n">
        <f aca="false">DATE(YEAR(E7),MONTH(E7),1)</f>
        <v>45901</v>
      </c>
      <c r="O7" s="17" t="str">
        <f aca="false">CHOOSE(WEEKDAY(E7,2),"Mon","Tue","Wed","Thu","Fri","Sat","Sun")</f>
        <v>Mon</v>
      </c>
      <c r="P7" s="21" t="n">
        <f aca="false">IFERROR(H7/G7,0)</f>
        <v>0.0624725338267607</v>
      </c>
      <c r="Q7" s="19" t="n">
        <f aca="false">IFERROR((I7+J7+K7)/H7,0)</f>
        <v>0.042042042042042</v>
      </c>
      <c r="R7" s="27" t="n">
        <f aca="false">IFERROR(L7*60/H7,0)</f>
        <v>5.08478341355054</v>
      </c>
      <c r="S7" s="21" t="n">
        <f aca="false">IFERROR(R7/F7,0)</f>
        <v>0.446033632767591</v>
      </c>
      <c r="T7" s="20" t="n">
        <f aca="false">IFERROR(M7/H7,0)</f>
        <v>0.00415483977127813</v>
      </c>
      <c r="U7" s="17" t="str">
        <f aca="false">IF(F7&lt;1,"Under 1 min",IF(F7&lt;5,"1-5 min",IF(F7&lt;10,"5-10 min",IF(F7&lt;20,"10-20 min","20+ min"))))</f>
        <v>10-20 min</v>
      </c>
      <c r="V7" s="17" t="str">
        <f aca="false">IF(WEEKDAY(E7,2)&gt;5,"Weekend","Weekday")</f>
        <v>Weekday</v>
      </c>
    </row>
    <row r="8" customFormat="false" ht="15" hidden="false" customHeight="false" outlineLevel="0" collapsed="false">
      <c r="A8" s="17" t="s">
        <v>126</v>
      </c>
      <c r="B8" s="17" t="s">
        <v>127</v>
      </c>
      <c r="C8" s="17" t="s">
        <v>128</v>
      </c>
      <c r="D8" s="17" t="s">
        <v>112</v>
      </c>
      <c r="E8" s="23" t="n">
        <v>45922</v>
      </c>
      <c r="F8" s="24" t="n">
        <v>17.8</v>
      </c>
      <c r="G8" s="18" t="n">
        <v>279597</v>
      </c>
      <c r="H8" s="18" t="n">
        <v>10749</v>
      </c>
      <c r="I8" s="18" t="n">
        <v>349</v>
      </c>
      <c r="J8" s="18" t="n">
        <v>29</v>
      </c>
      <c r="K8" s="18" t="n">
        <v>42</v>
      </c>
      <c r="L8" s="25" t="n">
        <v>908.8</v>
      </c>
      <c r="M8" s="18" t="n">
        <v>71</v>
      </c>
      <c r="N8" s="26" t="n">
        <f aca="false">DATE(YEAR(E8),MONTH(E8),1)</f>
        <v>45901</v>
      </c>
      <c r="O8" s="17" t="str">
        <f aca="false">CHOOSE(WEEKDAY(E8,2),"Mon","Tue","Wed","Thu","Fri","Sat","Sun")</f>
        <v>Mon</v>
      </c>
      <c r="P8" s="21" t="n">
        <f aca="false">IFERROR(H8/G8,0)</f>
        <v>0.0384446185044904</v>
      </c>
      <c r="Q8" s="19" t="n">
        <f aca="false">IFERROR((I8+J8+K8)/H8,0)</f>
        <v>0.0390734021769467</v>
      </c>
      <c r="R8" s="27" t="n">
        <f aca="false">IFERROR(L8*60/H8,0)</f>
        <v>5.07284398548702</v>
      </c>
      <c r="S8" s="21" t="n">
        <f aca="false">IFERROR(R8/F8,0)</f>
        <v>0.28499123513972</v>
      </c>
      <c r="T8" s="20" t="n">
        <f aca="false">IFERROR(M8/H8,0)</f>
        <v>0.00660526560610289</v>
      </c>
      <c r="U8" s="17" t="str">
        <f aca="false">IF(F8&lt;1,"Under 1 min",IF(F8&lt;5,"1-5 min",IF(F8&lt;10,"5-10 min",IF(F8&lt;20,"10-20 min","20+ min"))))</f>
        <v>10-20 min</v>
      </c>
      <c r="V8" s="17" t="str">
        <f aca="false">IF(WEEKDAY(E8,2)&gt;5,"Weekend","Weekday")</f>
        <v>Weekday</v>
      </c>
    </row>
    <row r="9" customFormat="false" ht="15" hidden="false" customHeight="false" outlineLevel="0" collapsed="false">
      <c r="A9" s="17" t="s">
        <v>129</v>
      </c>
      <c r="B9" s="17" t="s">
        <v>130</v>
      </c>
      <c r="C9" s="17" t="s">
        <v>115</v>
      </c>
      <c r="D9" s="17" t="s">
        <v>112</v>
      </c>
      <c r="E9" s="23" t="n">
        <v>45923</v>
      </c>
      <c r="F9" s="24" t="n">
        <v>6.7</v>
      </c>
      <c r="G9" s="18" t="n">
        <v>215440</v>
      </c>
      <c r="H9" s="18" t="n">
        <v>11768</v>
      </c>
      <c r="I9" s="18" t="n">
        <v>614</v>
      </c>
      <c r="J9" s="18" t="n">
        <v>38</v>
      </c>
      <c r="K9" s="18" t="n">
        <v>37</v>
      </c>
      <c r="L9" s="25" t="n">
        <v>736.9</v>
      </c>
      <c r="M9" s="18" t="n">
        <v>35</v>
      </c>
      <c r="N9" s="26" t="n">
        <f aca="false">DATE(YEAR(E9),MONTH(E9),1)</f>
        <v>45901</v>
      </c>
      <c r="O9" s="17" t="str">
        <f aca="false">CHOOSE(WEEKDAY(E9,2),"Mon","Tue","Wed","Thu","Fri","Sat","Sun")</f>
        <v>Tue</v>
      </c>
      <c r="P9" s="21" t="n">
        <f aca="false">IFERROR(H9/G9,0)</f>
        <v>0.0546230969179354</v>
      </c>
      <c r="Q9" s="19" t="n">
        <f aca="false">IFERROR((I9+J9+K9)/H9,0)</f>
        <v>0.0585486063902107</v>
      </c>
      <c r="R9" s="27" t="n">
        <f aca="false">IFERROR(L9*60/H9,0)</f>
        <v>3.75713800135962</v>
      </c>
      <c r="S9" s="21" t="n">
        <f aca="false">IFERROR(R9/F9,0)</f>
        <v>0.56076686587457</v>
      </c>
      <c r="T9" s="20" t="n">
        <f aca="false">IFERROR(M9/H9,0)</f>
        <v>0.00297416723317471</v>
      </c>
      <c r="U9" s="17" t="str">
        <f aca="false">IF(F9&lt;1,"Under 1 min",IF(F9&lt;5,"1-5 min",IF(F9&lt;10,"5-10 min",IF(F9&lt;20,"10-20 min","20+ min"))))</f>
        <v>5-10 min</v>
      </c>
      <c r="V9" s="17" t="str">
        <f aca="false">IF(WEEKDAY(E9,2)&gt;5,"Weekend","Weekday")</f>
        <v>Weekday</v>
      </c>
    </row>
    <row r="10" customFormat="false" ht="15" hidden="false" customHeight="false" outlineLevel="0" collapsed="false">
      <c r="A10" s="17" t="s">
        <v>131</v>
      </c>
      <c r="B10" s="17" t="s">
        <v>132</v>
      </c>
      <c r="C10" s="17" t="s">
        <v>128</v>
      </c>
      <c r="D10" s="17" t="s">
        <v>121</v>
      </c>
      <c r="E10" s="23" t="n">
        <v>45923</v>
      </c>
      <c r="F10" s="24" t="n">
        <v>0.94</v>
      </c>
      <c r="G10" s="18" t="n">
        <v>203717</v>
      </c>
      <c r="H10" s="18" t="n">
        <v>17945</v>
      </c>
      <c r="I10" s="18" t="n">
        <v>462</v>
      </c>
      <c r="J10" s="18" t="n">
        <v>34</v>
      </c>
      <c r="K10" s="18" t="n">
        <v>91</v>
      </c>
      <c r="L10" s="25" t="n">
        <v>272.6</v>
      </c>
      <c r="M10" s="18" t="n">
        <v>45</v>
      </c>
      <c r="N10" s="26" t="n">
        <f aca="false">DATE(YEAR(E10),MONTH(E10),1)</f>
        <v>45901</v>
      </c>
      <c r="O10" s="17" t="str">
        <f aca="false">CHOOSE(WEEKDAY(E10,2),"Mon","Tue","Wed","Thu","Fri","Sat","Sun")</f>
        <v>Tue</v>
      </c>
      <c r="P10" s="21" t="n">
        <f aca="false">IFERROR(H10/G10,0)</f>
        <v>0.0880878866270365</v>
      </c>
      <c r="Q10" s="19" t="n">
        <f aca="false">IFERROR((I10+J10+K10)/H10,0)</f>
        <v>0.032711061577041</v>
      </c>
      <c r="R10" s="27" t="n">
        <f aca="false">IFERROR(L10*60/H10,0)</f>
        <v>0.911451657843411</v>
      </c>
      <c r="S10" s="21" t="n">
        <f aca="false">IFERROR(R10/F10,0)</f>
        <v>0.969629423237671</v>
      </c>
      <c r="T10" s="20" t="n">
        <f aca="false">IFERROR(M10/H10,0)</f>
        <v>0.00250766230147673</v>
      </c>
      <c r="U10" s="17" t="str">
        <f aca="false">IF(F10&lt;1,"Under 1 min",IF(F10&lt;5,"1-5 min",IF(F10&lt;10,"5-10 min",IF(F10&lt;20,"10-20 min","20+ min"))))</f>
        <v>Under 1 min</v>
      </c>
      <c r="V10" s="17" t="str">
        <f aca="false">IF(WEEKDAY(E10,2)&gt;5,"Weekend","Weekday")</f>
        <v>Weekday</v>
      </c>
    </row>
    <row r="11" customFormat="false" ht="15" hidden="false" customHeight="false" outlineLevel="0" collapsed="false">
      <c r="A11" s="17" t="s">
        <v>133</v>
      </c>
      <c r="B11" s="17" t="s">
        <v>134</v>
      </c>
      <c r="C11" s="17" t="s">
        <v>128</v>
      </c>
      <c r="D11" s="17" t="s">
        <v>121</v>
      </c>
      <c r="E11" s="23" t="n">
        <v>45929</v>
      </c>
      <c r="F11" s="24" t="n">
        <v>0.69</v>
      </c>
      <c r="G11" s="18" t="n">
        <v>435835</v>
      </c>
      <c r="H11" s="18" t="n">
        <v>28680</v>
      </c>
      <c r="I11" s="18" t="n">
        <v>1102</v>
      </c>
      <c r="J11" s="18" t="n">
        <v>83</v>
      </c>
      <c r="K11" s="18" t="n">
        <v>155</v>
      </c>
      <c r="L11" s="25" t="n">
        <v>302.2</v>
      </c>
      <c r="M11" s="18" t="n">
        <v>69</v>
      </c>
      <c r="N11" s="26" t="n">
        <f aca="false">DATE(YEAR(E11),MONTH(E11),1)</f>
        <v>45901</v>
      </c>
      <c r="O11" s="17" t="str">
        <f aca="false">CHOOSE(WEEKDAY(E11,2),"Mon","Tue","Wed","Thu","Fri","Sat","Sun")</f>
        <v>Mon</v>
      </c>
      <c r="P11" s="21" t="n">
        <f aca="false">IFERROR(H11/G11,0)</f>
        <v>0.0658047196760242</v>
      </c>
      <c r="Q11" s="19" t="n">
        <f aca="false">IFERROR((I11+J11+K11)/H11,0)</f>
        <v>0.0467224546722455</v>
      </c>
      <c r="R11" s="27" t="n">
        <f aca="false">IFERROR(L11*60/H11,0)</f>
        <v>0.632217573221757</v>
      </c>
      <c r="S11" s="21" t="n">
        <f aca="false">IFERROR(R11/F11,0)</f>
        <v>0.916257352495301</v>
      </c>
      <c r="T11" s="20" t="n">
        <f aca="false">IFERROR(M11/H11,0)</f>
        <v>0.00240585774058577</v>
      </c>
      <c r="U11" s="17" t="str">
        <f aca="false">IF(F11&lt;1,"Under 1 min",IF(F11&lt;5,"1-5 min",IF(F11&lt;10,"5-10 min",IF(F11&lt;20,"10-20 min","20+ min"))))</f>
        <v>Under 1 min</v>
      </c>
      <c r="V11" s="17" t="str">
        <f aca="false">IF(WEEKDAY(E11,2)&gt;5,"Weekend","Weekday")</f>
        <v>Weekday</v>
      </c>
    </row>
    <row r="12" customFormat="false" ht="15" hidden="false" customHeight="false" outlineLevel="0" collapsed="false">
      <c r="A12" s="17" t="s">
        <v>135</v>
      </c>
      <c r="B12" s="17" t="s">
        <v>136</v>
      </c>
      <c r="C12" s="17" t="s">
        <v>128</v>
      </c>
      <c r="D12" s="17" t="s">
        <v>112</v>
      </c>
      <c r="E12" s="23" t="n">
        <v>45930</v>
      </c>
      <c r="F12" s="24" t="n">
        <v>18.9</v>
      </c>
      <c r="G12" s="18" t="n">
        <v>264644</v>
      </c>
      <c r="H12" s="18" t="n">
        <v>18075</v>
      </c>
      <c r="I12" s="18" t="n">
        <v>696</v>
      </c>
      <c r="J12" s="18" t="n">
        <v>55</v>
      </c>
      <c r="K12" s="18" t="n">
        <v>58</v>
      </c>
      <c r="L12" s="25" t="n">
        <v>2278.4</v>
      </c>
      <c r="M12" s="18" t="n">
        <v>139</v>
      </c>
      <c r="N12" s="26" t="n">
        <f aca="false">DATE(YEAR(E12),MONTH(E12),1)</f>
        <v>45901</v>
      </c>
      <c r="O12" s="17" t="str">
        <f aca="false">CHOOSE(WEEKDAY(E12,2),"Mon","Tue","Wed","Thu","Fri","Sat","Sun")</f>
        <v>Tue</v>
      </c>
      <c r="P12" s="21" t="n">
        <f aca="false">IFERROR(H12/G12,0)</f>
        <v>0.068299300191956</v>
      </c>
      <c r="Q12" s="19" t="n">
        <f aca="false">IFERROR((I12+J12+K12)/H12,0)</f>
        <v>0.0447579529737206</v>
      </c>
      <c r="R12" s="27" t="n">
        <f aca="false">IFERROR(L12*60/H12,0)</f>
        <v>7.56315352697096</v>
      </c>
      <c r="S12" s="21" t="n">
        <f aca="false">IFERROR(R12/F12,0)</f>
        <v>0.400166853278887</v>
      </c>
      <c r="T12" s="20" t="n">
        <f aca="false">IFERROR(M12/H12,0)</f>
        <v>0.00769017980636238</v>
      </c>
      <c r="U12" s="17" t="str">
        <f aca="false">IF(F12&lt;1,"Under 1 min",IF(F12&lt;5,"1-5 min",IF(F12&lt;10,"5-10 min",IF(F12&lt;20,"10-20 min","20+ min"))))</f>
        <v>10-20 min</v>
      </c>
      <c r="V12" s="17" t="str">
        <f aca="false">IF(WEEKDAY(E12,2)&gt;5,"Weekend","Weekday")</f>
        <v>Weekday</v>
      </c>
    </row>
    <row r="13" customFormat="false" ht="15" hidden="false" customHeight="false" outlineLevel="0" collapsed="false">
      <c r="A13" s="17" t="s">
        <v>137</v>
      </c>
      <c r="B13" s="17" t="s">
        <v>138</v>
      </c>
      <c r="C13" s="17" t="s">
        <v>128</v>
      </c>
      <c r="D13" s="17" t="s">
        <v>112</v>
      </c>
      <c r="E13" s="23" t="n">
        <v>45930</v>
      </c>
      <c r="F13" s="24" t="n">
        <v>20.2</v>
      </c>
      <c r="G13" s="18" t="n">
        <v>396540</v>
      </c>
      <c r="H13" s="18" t="n">
        <v>25089</v>
      </c>
      <c r="I13" s="18" t="n">
        <v>772</v>
      </c>
      <c r="J13" s="18" t="n">
        <v>109</v>
      </c>
      <c r="K13" s="18" t="n">
        <v>98</v>
      </c>
      <c r="L13" s="25" t="n">
        <v>2719.9</v>
      </c>
      <c r="M13" s="18" t="n">
        <v>136</v>
      </c>
      <c r="N13" s="26" t="n">
        <f aca="false">DATE(YEAR(E13),MONTH(E13),1)</f>
        <v>45901</v>
      </c>
      <c r="O13" s="17" t="str">
        <f aca="false">CHOOSE(WEEKDAY(E13,2),"Mon","Tue","Wed","Thu","Fri","Sat","Sun")</f>
        <v>Tue</v>
      </c>
      <c r="P13" s="21" t="n">
        <f aca="false">IFERROR(H13/G13,0)</f>
        <v>0.0632697836283855</v>
      </c>
      <c r="Q13" s="19" t="n">
        <f aca="false">IFERROR((I13+J13+K13)/H13,0)</f>
        <v>0.0390210849376221</v>
      </c>
      <c r="R13" s="27" t="n">
        <f aca="false">IFERROR(L13*60/H13,0)</f>
        <v>6.50460361114433</v>
      </c>
      <c r="S13" s="21" t="n">
        <f aca="false">IFERROR(R13/F13,0)</f>
        <v>0.32201007975962</v>
      </c>
      <c r="T13" s="20" t="n">
        <f aca="false">IFERROR(M13/H13,0)</f>
        <v>0.00542070229981267</v>
      </c>
      <c r="U13" s="17" t="str">
        <f aca="false">IF(F13&lt;1,"Under 1 min",IF(F13&lt;5,"1-5 min",IF(F13&lt;10,"5-10 min",IF(F13&lt;20,"10-20 min","20+ min"))))</f>
        <v>20+ min</v>
      </c>
      <c r="V13" s="17" t="str">
        <f aca="false">IF(WEEKDAY(E13,2)&gt;5,"Weekend","Weekday")</f>
        <v>Weekday</v>
      </c>
    </row>
    <row r="14" customFormat="false" ht="15" hidden="false" customHeight="false" outlineLevel="0" collapsed="false">
      <c r="A14" s="17" t="s">
        <v>139</v>
      </c>
      <c r="B14" s="17" t="s">
        <v>140</v>
      </c>
      <c r="C14" s="17" t="s">
        <v>128</v>
      </c>
      <c r="D14" s="17" t="s">
        <v>112</v>
      </c>
      <c r="E14" s="23" t="n">
        <v>45931</v>
      </c>
      <c r="F14" s="24" t="n">
        <v>14</v>
      </c>
      <c r="G14" s="18" t="n">
        <v>251565</v>
      </c>
      <c r="H14" s="18" t="n">
        <v>13684</v>
      </c>
      <c r="I14" s="18" t="n">
        <v>414</v>
      </c>
      <c r="J14" s="18" t="n">
        <v>59</v>
      </c>
      <c r="K14" s="18" t="n">
        <v>41</v>
      </c>
      <c r="L14" s="25" t="n">
        <v>1506</v>
      </c>
      <c r="M14" s="18" t="n">
        <v>98</v>
      </c>
      <c r="N14" s="26" t="n">
        <f aca="false">DATE(YEAR(E14),MONTH(E14),1)</f>
        <v>45931</v>
      </c>
      <c r="O14" s="17" t="str">
        <f aca="false">CHOOSE(WEEKDAY(E14,2),"Mon","Tue","Wed","Thu","Fri","Sat","Sun")</f>
        <v>Wed</v>
      </c>
      <c r="P14" s="21" t="n">
        <f aca="false">IFERROR(H14/G14,0)</f>
        <v>0.0543954842684793</v>
      </c>
      <c r="Q14" s="19" t="n">
        <f aca="false">IFERROR((I14+J14+K14)/H14,0)</f>
        <v>0.0375621163402514</v>
      </c>
      <c r="R14" s="27" t="n">
        <f aca="false">IFERROR(L14*60/H14,0)</f>
        <v>6.60333235895937</v>
      </c>
      <c r="S14" s="21" t="n">
        <f aca="false">IFERROR(R14/F14,0)</f>
        <v>0.471666597068526</v>
      </c>
      <c r="T14" s="20" t="n">
        <f aca="false">IFERROR(M14/H14,0)</f>
        <v>0.00716164864074832</v>
      </c>
      <c r="U14" s="17" t="str">
        <f aca="false">IF(F14&lt;1,"Under 1 min",IF(F14&lt;5,"1-5 min",IF(F14&lt;10,"5-10 min",IF(F14&lt;20,"10-20 min","20+ min"))))</f>
        <v>10-20 min</v>
      </c>
      <c r="V14" s="17" t="str">
        <f aca="false">IF(WEEKDAY(E14,2)&gt;5,"Weekend","Weekday")</f>
        <v>Weekday</v>
      </c>
    </row>
    <row r="15" customFormat="false" ht="15" hidden="false" customHeight="false" outlineLevel="0" collapsed="false">
      <c r="A15" s="17" t="s">
        <v>141</v>
      </c>
      <c r="B15" s="17" t="s">
        <v>142</v>
      </c>
      <c r="C15" s="17" t="s">
        <v>128</v>
      </c>
      <c r="D15" s="17" t="s">
        <v>112</v>
      </c>
      <c r="E15" s="23" t="n">
        <v>45933</v>
      </c>
      <c r="F15" s="24" t="n">
        <v>16.5</v>
      </c>
      <c r="G15" s="18" t="n">
        <v>315870</v>
      </c>
      <c r="H15" s="18" t="n">
        <v>13738</v>
      </c>
      <c r="I15" s="18" t="n">
        <v>438</v>
      </c>
      <c r="J15" s="18" t="n">
        <v>35</v>
      </c>
      <c r="K15" s="18" t="n">
        <v>62</v>
      </c>
      <c r="L15" s="25" t="n">
        <v>1445.3</v>
      </c>
      <c r="M15" s="18" t="n">
        <v>66</v>
      </c>
      <c r="N15" s="26" t="n">
        <f aca="false">DATE(YEAR(E15),MONTH(E15),1)</f>
        <v>45931</v>
      </c>
      <c r="O15" s="17" t="str">
        <f aca="false">CHOOSE(WEEKDAY(E15,2),"Mon","Tue","Wed","Thu","Fri","Sat","Sun")</f>
        <v>Fri</v>
      </c>
      <c r="P15" s="21" t="n">
        <f aca="false">IFERROR(H15/G15,0)</f>
        <v>0.0434925760597714</v>
      </c>
      <c r="Q15" s="19" t="n">
        <f aca="false">IFERROR((I15+J15+K15)/H15,0)</f>
        <v>0.038943077594992</v>
      </c>
      <c r="R15" s="27" t="n">
        <f aca="false">IFERROR(L15*60/H15,0)</f>
        <v>6.31227252875237</v>
      </c>
      <c r="S15" s="21" t="n">
        <f aca="false">IFERROR(R15/F15,0)</f>
        <v>0.382561971439537</v>
      </c>
      <c r="T15" s="20" t="n">
        <f aca="false">IFERROR(M15/H15,0)</f>
        <v>0.0048041927500364</v>
      </c>
      <c r="U15" s="17" t="str">
        <f aca="false">IF(F15&lt;1,"Under 1 min",IF(F15&lt;5,"1-5 min",IF(F15&lt;10,"5-10 min",IF(F15&lt;20,"10-20 min","20+ min"))))</f>
        <v>10-20 min</v>
      </c>
      <c r="V15" s="17" t="str">
        <f aca="false">IF(WEEKDAY(E15,2)&gt;5,"Weekend","Weekday")</f>
        <v>Weekday</v>
      </c>
    </row>
    <row r="16" customFormat="false" ht="15" hidden="false" customHeight="false" outlineLevel="0" collapsed="false">
      <c r="A16" s="17" t="s">
        <v>143</v>
      </c>
      <c r="B16" s="17" t="s">
        <v>144</v>
      </c>
      <c r="C16" s="17" t="s">
        <v>111</v>
      </c>
      <c r="D16" s="17" t="s">
        <v>112</v>
      </c>
      <c r="E16" s="23" t="n">
        <v>45934</v>
      </c>
      <c r="F16" s="24" t="n">
        <v>14.5</v>
      </c>
      <c r="G16" s="18" t="n">
        <v>775311</v>
      </c>
      <c r="H16" s="18" t="n">
        <v>41085</v>
      </c>
      <c r="I16" s="18" t="n">
        <v>1793</v>
      </c>
      <c r="J16" s="18" t="n">
        <v>129</v>
      </c>
      <c r="K16" s="18" t="n">
        <v>122</v>
      </c>
      <c r="L16" s="25" t="n">
        <v>3249.2</v>
      </c>
      <c r="M16" s="18" t="n">
        <v>209</v>
      </c>
      <c r="N16" s="26" t="n">
        <f aca="false">DATE(YEAR(E16),MONTH(E16),1)</f>
        <v>45931</v>
      </c>
      <c r="O16" s="17" t="str">
        <f aca="false">CHOOSE(WEEKDAY(E16,2),"Mon","Tue","Wed","Thu","Fri","Sat","Sun")</f>
        <v>Sat</v>
      </c>
      <c r="P16" s="21" t="n">
        <f aca="false">IFERROR(H16/G16,0)</f>
        <v>0.0529916381942214</v>
      </c>
      <c r="Q16" s="19" t="n">
        <f aca="false">IFERROR((I16+J16+K16)/H16,0)</f>
        <v>0.0497505172203967</v>
      </c>
      <c r="R16" s="27" t="n">
        <f aca="false">IFERROR(L16*60/H16,0)</f>
        <v>4.74508944870391</v>
      </c>
      <c r="S16" s="21" t="n">
        <f aca="false">IFERROR(R16/F16,0)</f>
        <v>0.327247548186476</v>
      </c>
      <c r="T16" s="20" t="n">
        <f aca="false">IFERROR(M16/H16,0)</f>
        <v>0.00508701472556894</v>
      </c>
      <c r="U16" s="17" t="str">
        <f aca="false">IF(F16&lt;1,"Under 1 min",IF(F16&lt;5,"1-5 min",IF(F16&lt;10,"5-10 min",IF(F16&lt;20,"10-20 min","20+ min"))))</f>
        <v>10-20 min</v>
      </c>
      <c r="V16" s="17" t="str">
        <f aca="false">IF(WEEKDAY(E16,2)&gt;5,"Weekend","Weekday")</f>
        <v>Weekend</v>
      </c>
    </row>
    <row r="17" customFormat="false" ht="15" hidden="false" customHeight="false" outlineLevel="0" collapsed="false">
      <c r="A17" s="17" t="s">
        <v>145</v>
      </c>
      <c r="B17" s="17" t="s">
        <v>146</v>
      </c>
      <c r="C17" s="17" t="s">
        <v>111</v>
      </c>
      <c r="D17" s="17" t="s">
        <v>112</v>
      </c>
      <c r="E17" s="23" t="n">
        <v>45937</v>
      </c>
      <c r="F17" s="24" t="n">
        <v>10.9</v>
      </c>
      <c r="G17" s="18" t="n">
        <v>587667</v>
      </c>
      <c r="H17" s="18" t="n">
        <v>30052</v>
      </c>
      <c r="I17" s="18" t="n">
        <v>1451</v>
      </c>
      <c r="J17" s="18" t="n">
        <v>140</v>
      </c>
      <c r="K17" s="18" t="n">
        <v>155</v>
      </c>
      <c r="L17" s="25" t="n">
        <v>2702.4</v>
      </c>
      <c r="M17" s="18" t="n">
        <v>188</v>
      </c>
      <c r="N17" s="26" t="n">
        <f aca="false">DATE(YEAR(E17),MONTH(E17),1)</f>
        <v>45931</v>
      </c>
      <c r="O17" s="17" t="str">
        <f aca="false">CHOOSE(WEEKDAY(E17,2),"Mon","Tue","Wed","Thu","Fri","Sat","Sun")</f>
        <v>Tue</v>
      </c>
      <c r="P17" s="21" t="n">
        <f aca="false">IFERROR(H17/G17,0)</f>
        <v>0.0511378042326692</v>
      </c>
      <c r="Q17" s="19" t="n">
        <f aca="false">IFERROR((I17+J17+K17)/H17,0)</f>
        <v>0.0580992945561028</v>
      </c>
      <c r="R17" s="27" t="n">
        <f aca="false">IFERROR(L17*60/H17,0)</f>
        <v>5.39544789032344</v>
      </c>
      <c r="S17" s="21" t="n">
        <f aca="false">IFERROR(R17/F17,0)</f>
        <v>0.494995219295728</v>
      </c>
      <c r="T17" s="20" t="n">
        <f aca="false">IFERROR(M17/H17,0)</f>
        <v>0.00625582323971782</v>
      </c>
      <c r="U17" s="17" t="str">
        <f aca="false">IF(F17&lt;1,"Under 1 min",IF(F17&lt;5,"1-5 min",IF(F17&lt;10,"5-10 min",IF(F17&lt;20,"10-20 min","20+ min"))))</f>
        <v>10-20 min</v>
      </c>
      <c r="V17" s="17" t="str">
        <f aca="false">IF(WEEKDAY(E17,2)&gt;5,"Weekend","Weekday")</f>
        <v>Weekday</v>
      </c>
    </row>
    <row r="18" customFormat="false" ht="15" hidden="false" customHeight="false" outlineLevel="0" collapsed="false">
      <c r="A18" s="17" t="s">
        <v>147</v>
      </c>
      <c r="B18" s="17" t="s">
        <v>148</v>
      </c>
      <c r="C18" s="17" t="s">
        <v>128</v>
      </c>
      <c r="D18" s="17" t="s">
        <v>121</v>
      </c>
      <c r="E18" s="23" t="n">
        <v>45937</v>
      </c>
      <c r="F18" s="24" t="n">
        <v>0.78</v>
      </c>
      <c r="G18" s="18" t="n">
        <v>608926</v>
      </c>
      <c r="H18" s="18" t="n">
        <v>49122</v>
      </c>
      <c r="I18" s="18" t="n">
        <v>1313</v>
      </c>
      <c r="J18" s="18" t="n">
        <v>147</v>
      </c>
      <c r="K18" s="18" t="n">
        <v>254</v>
      </c>
      <c r="L18" s="25" t="n">
        <v>501.4</v>
      </c>
      <c r="M18" s="18" t="n">
        <v>138</v>
      </c>
      <c r="N18" s="26" t="n">
        <f aca="false">DATE(YEAR(E18),MONTH(E18),1)</f>
        <v>45931</v>
      </c>
      <c r="O18" s="17" t="str">
        <f aca="false">CHOOSE(WEEKDAY(E18,2),"Mon","Tue","Wed","Thu","Fri","Sat","Sun")</f>
        <v>Tue</v>
      </c>
      <c r="P18" s="21" t="n">
        <f aca="false">IFERROR(H18/G18,0)</f>
        <v>0.0806699007761206</v>
      </c>
      <c r="Q18" s="19" t="n">
        <f aca="false">IFERROR((I18+J18+K18)/H18,0)</f>
        <v>0.0348927160946216</v>
      </c>
      <c r="R18" s="27" t="n">
        <f aca="false">IFERROR(L18*60/H18,0)</f>
        <v>0.612434347135703</v>
      </c>
      <c r="S18" s="21" t="n">
        <f aca="false">IFERROR(R18/F18,0)</f>
        <v>0.785172239917568</v>
      </c>
      <c r="T18" s="20" t="n">
        <f aca="false">IFERROR(M18/H18,0)</f>
        <v>0.00280933186759497</v>
      </c>
      <c r="U18" s="17" t="str">
        <f aca="false">IF(F18&lt;1,"Under 1 min",IF(F18&lt;5,"1-5 min",IF(F18&lt;10,"5-10 min",IF(F18&lt;20,"10-20 min","20+ min"))))</f>
        <v>Under 1 min</v>
      </c>
      <c r="V18" s="17" t="str">
        <f aca="false">IF(WEEKDAY(E18,2)&gt;5,"Weekend","Weekday")</f>
        <v>Weekday</v>
      </c>
    </row>
    <row r="19" customFormat="false" ht="15" hidden="false" customHeight="false" outlineLevel="0" collapsed="false">
      <c r="A19" s="17" t="s">
        <v>149</v>
      </c>
      <c r="B19" s="17" t="s">
        <v>150</v>
      </c>
      <c r="C19" s="17" t="s">
        <v>128</v>
      </c>
      <c r="D19" s="17" t="s">
        <v>121</v>
      </c>
      <c r="E19" s="23" t="n">
        <v>45939</v>
      </c>
      <c r="F19" s="24" t="n">
        <v>0.96</v>
      </c>
      <c r="G19" s="18" t="n">
        <v>608105</v>
      </c>
      <c r="H19" s="18" t="n">
        <v>61827</v>
      </c>
      <c r="I19" s="18" t="n">
        <v>1659</v>
      </c>
      <c r="J19" s="18" t="n">
        <v>77</v>
      </c>
      <c r="K19" s="18" t="n">
        <v>436</v>
      </c>
      <c r="L19" s="25" t="n">
        <v>773.6</v>
      </c>
      <c r="M19" s="18" t="n">
        <v>125</v>
      </c>
      <c r="N19" s="26" t="n">
        <f aca="false">DATE(YEAR(E19),MONTH(E19),1)</f>
        <v>45931</v>
      </c>
      <c r="O19" s="17" t="str">
        <f aca="false">CHOOSE(WEEKDAY(E19,2),"Mon","Tue","Wed","Thu","Fri","Sat","Sun")</f>
        <v>Thu</v>
      </c>
      <c r="P19" s="21" t="n">
        <f aca="false">IFERROR(H19/G19,0)</f>
        <v>0.101671586321441</v>
      </c>
      <c r="Q19" s="19" t="n">
        <f aca="false">IFERROR((I19+J19+K19)/H19,0)</f>
        <v>0.0351302828861177</v>
      </c>
      <c r="R19" s="27" t="n">
        <f aca="false">IFERROR(L19*60/H19,0)</f>
        <v>0.750739967975157</v>
      </c>
      <c r="S19" s="21" t="n">
        <f aca="false">IFERROR(R19/F19,0)</f>
        <v>0.782020799974121</v>
      </c>
      <c r="T19" s="20" t="n">
        <f aca="false">IFERROR(M19/H19,0)</f>
        <v>0.00202177042392482</v>
      </c>
      <c r="U19" s="17" t="str">
        <f aca="false">IF(F19&lt;1,"Under 1 min",IF(F19&lt;5,"1-5 min",IF(F19&lt;10,"5-10 min",IF(F19&lt;20,"10-20 min","20+ min"))))</f>
        <v>Under 1 min</v>
      </c>
      <c r="V19" s="17" t="str">
        <f aca="false">IF(WEEKDAY(E19,2)&gt;5,"Weekend","Weekday")</f>
        <v>Weekday</v>
      </c>
    </row>
    <row r="20" customFormat="false" ht="15" hidden="false" customHeight="false" outlineLevel="0" collapsed="false">
      <c r="A20" s="17" t="s">
        <v>151</v>
      </c>
      <c r="B20" s="17" t="s">
        <v>152</v>
      </c>
      <c r="C20" s="17" t="s">
        <v>128</v>
      </c>
      <c r="D20" s="17" t="s">
        <v>112</v>
      </c>
      <c r="E20" s="23" t="n">
        <v>45940</v>
      </c>
      <c r="F20" s="24" t="n">
        <v>19.3</v>
      </c>
      <c r="G20" s="18" t="n">
        <v>254750</v>
      </c>
      <c r="H20" s="18" t="n">
        <v>12490</v>
      </c>
      <c r="I20" s="18" t="n">
        <v>416</v>
      </c>
      <c r="J20" s="18" t="n">
        <v>40</v>
      </c>
      <c r="K20" s="18" t="n">
        <v>44</v>
      </c>
      <c r="L20" s="25" t="n">
        <v>1713</v>
      </c>
      <c r="M20" s="18" t="n">
        <v>68</v>
      </c>
      <c r="N20" s="26" t="n">
        <f aca="false">DATE(YEAR(E20),MONTH(E20),1)</f>
        <v>45931</v>
      </c>
      <c r="O20" s="17" t="str">
        <f aca="false">CHOOSE(WEEKDAY(E20,2),"Mon","Tue","Wed","Thu","Fri","Sat","Sun")</f>
        <v>Fri</v>
      </c>
      <c r="P20" s="21" t="n">
        <f aca="false">IFERROR(H20/G20,0)</f>
        <v>0.0490284592737978</v>
      </c>
      <c r="Q20" s="19" t="n">
        <f aca="false">IFERROR((I20+J20+K20)/H20,0)</f>
        <v>0.0400320256204964</v>
      </c>
      <c r="R20" s="27" t="n">
        <f aca="false">IFERROR(L20*60/H20,0)</f>
        <v>8.22898318654924</v>
      </c>
      <c r="S20" s="21" t="n">
        <f aca="false">IFERROR(R20/F20,0)</f>
        <v>0.426372185831567</v>
      </c>
      <c r="T20" s="20" t="n">
        <f aca="false">IFERROR(M20/H20,0)</f>
        <v>0.00544435548438751</v>
      </c>
      <c r="U20" s="17" t="str">
        <f aca="false">IF(F20&lt;1,"Under 1 min",IF(F20&lt;5,"1-5 min",IF(F20&lt;10,"5-10 min",IF(F20&lt;20,"10-20 min","20+ min"))))</f>
        <v>10-20 min</v>
      </c>
      <c r="V20" s="17" t="str">
        <f aca="false">IF(WEEKDAY(E20,2)&gt;5,"Weekend","Weekday")</f>
        <v>Weekday</v>
      </c>
    </row>
    <row r="21" customFormat="false" ht="15" hidden="false" customHeight="false" outlineLevel="0" collapsed="false">
      <c r="A21" s="17" t="s">
        <v>153</v>
      </c>
      <c r="B21" s="17" t="s">
        <v>154</v>
      </c>
      <c r="C21" s="17" t="s">
        <v>128</v>
      </c>
      <c r="D21" s="17" t="s">
        <v>112</v>
      </c>
      <c r="E21" s="23" t="n">
        <v>45941</v>
      </c>
      <c r="F21" s="24" t="n">
        <v>13.9</v>
      </c>
      <c r="G21" s="18" t="n">
        <v>407763</v>
      </c>
      <c r="H21" s="18" t="n">
        <v>29646</v>
      </c>
      <c r="I21" s="18" t="n">
        <v>939</v>
      </c>
      <c r="J21" s="18" t="n">
        <v>119</v>
      </c>
      <c r="K21" s="18" t="n">
        <v>103</v>
      </c>
      <c r="L21" s="25" t="n">
        <v>2816.6</v>
      </c>
      <c r="M21" s="18" t="n">
        <v>173</v>
      </c>
      <c r="N21" s="26" t="n">
        <f aca="false">DATE(YEAR(E21),MONTH(E21),1)</f>
        <v>45931</v>
      </c>
      <c r="O21" s="17" t="str">
        <f aca="false">CHOOSE(WEEKDAY(E21,2),"Mon","Tue","Wed","Thu","Fri","Sat","Sun")</f>
        <v>Sat</v>
      </c>
      <c r="P21" s="21" t="n">
        <f aca="false">IFERROR(H21/G21,0)</f>
        <v>0.0727039971748295</v>
      </c>
      <c r="Q21" s="19" t="n">
        <f aca="false">IFERROR((I21+J21+K21)/H21,0)</f>
        <v>0.0391621129326047</v>
      </c>
      <c r="R21" s="27" t="n">
        <f aca="false">IFERROR(L21*60/H21,0)</f>
        <v>5.70046549281522</v>
      </c>
      <c r="S21" s="21" t="n">
        <f aca="false">IFERROR(R21/F21,0)</f>
        <v>0.410105431137786</v>
      </c>
      <c r="T21" s="20" t="n">
        <f aca="false">IFERROR(M21/H21,0)</f>
        <v>0.00583552587195575</v>
      </c>
      <c r="U21" s="17" t="str">
        <f aca="false">IF(F21&lt;1,"Under 1 min",IF(F21&lt;5,"1-5 min",IF(F21&lt;10,"5-10 min",IF(F21&lt;20,"10-20 min","20+ min"))))</f>
        <v>10-20 min</v>
      </c>
      <c r="V21" s="17" t="str">
        <f aca="false">IF(WEEKDAY(E21,2)&gt;5,"Weekend","Weekday")</f>
        <v>Weekend</v>
      </c>
    </row>
    <row r="22" customFormat="false" ht="15" hidden="false" customHeight="false" outlineLevel="0" collapsed="false">
      <c r="A22" s="17" t="s">
        <v>155</v>
      </c>
      <c r="B22" s="17" t="s">
        <v>156</v>
      </c>
      <c r="C22" s="17" t="s">
        <v>128</v>
      </c>
      <c r="D22" s="17" t="s">
        <v>112</v>
      </c>
      <c r="E22" s="23" t="n">
        <v>45946</v>
      </c>
      <c r="F22" s="24" t="n">
        <v>18.8</v>
      </c>
      <c r="G22" s="18" t="n">
        <v>602111</v>
      </c>
      <c r="H22" s="18" t="n">
        <v>42062</v>
      </c>
      <c r="I22" s="18" t="n">
        <v>1851</v>
      </c>
      <c r="J22" s="18" t="n">
        <v>112</v>
      </c>
      <c r="K22" s="18" t="n">
        <v>228</v>
      </c>
      <c r="L22" s="25" t="n">
        <v>5106.3</v>
      </c>
      <c r="M22" s="18" t="n">
        <v>175</v>
      </c>
      <c r="N22" s="26" t="n">
        <f aca="false">DATE(YEAR(E22),MONTH(E22),1)</f>
        <v>45931</v>
      </c>
      <c r="O22" s="17" t="str">
        <f aca="false">CHOOSE(WEEKDAY(E22,2),"Mon","Tue","Wed","Thu","Fri","Sat","Sun")</f>
        <v>Thu</v>
      </c>
      <c r="P22" s="21" t="n">
        <f aca="false">IFERROR(H22/G22,0)</f>
        <v>0.0698575511824232</v>
      </c>
      <c r="Q22" s="19" t="n">
        <f aca="false">IFERROR((I22+J22+K22)/H22,0)</f>
        <v>0.0520897722409776</v>
      </c>
      <c r="R22" s="27" t="n">
        <f aca="false">IFERROR(L22*60/H22,0)</f>
        <v>7.28396177071941</v>
      </c>
      <c r="S22" s="21" t="n">
        <f aca="false">IFERROR(R22/F22,0)</f>
        <v>0.387444775038267</v>
      </c>
      <c r="T22" s="20" t="n">
        <f aca="false">IFERROR(M22/H22,0)</f>
        <v>0.00416052493937521</v>
      </c>
      <c r="U22" s="17" t="str">
        <f aca="false">IF(F22&lt;1,"Under 1 min",IF(F22&lt;5,"1-5 min",IF(F22&lt;10,"5-10 min",IF(F22&lt;20,"10-20 min","20+ min"))))</f>
        <v>10-20 min</v>
      </c>
      <c r="V22" s="17" t="str">
        <f aca="false">IF(WEEKDAY(E22,2)&gt;5,"Weekend","Weekday")</f>
        <v>Weekday</v>
      </c>
    </row>
    <row r="23" customFormat="false" ht="15" hidden="false" customHeight="false" outlineLevel="0" collapsed="false">
      <c r="A23" s="17" t="s">
        <v>157</v>
      </c>
      <c r="B23" s="17" t="s">
        <v>158</v>
      </c>
      <c r="C23" s="17" t="s">
        <v>128</v>
      </c>
      <c r="D23" s="17" t="s">
        <v>112</v>
      </c>
      <c r="E23" s="23" t="n">
        <v>45951</v>
      </c>
      <c r="F23" s="24" t="n">
        <v>14.7</v>
      </c>
      <c r="G23" s="18" t="n">
        <v>201949</v>
      </c>
      <c r="H23" s="18" t="n">
        <v>13972</v>
      </c>
      <c r="I23" s="18" t="n">
        <v>621</v>
      </c>
      <c r="J23" s="18" t="n">
        <v>68</v>
      </c>
      <c r="K23" s="18" t="n">
        <v>73</v>
      </c>
      <c r="L23" s="25" t="n">
        <v>1406.4</v>
      </c>
      <c r="M23" s="18" t="n">
        <v>51</v>
      </c>
      <c r="N23" s="26" t="n">
        <f aca="false">DATE(YEAR(E23),MONTH(E23),1)</f>
        <v>45931</v>
      </c>
      <c r="O23" s="17" t="str">
        <f aca="false">CHOOSE(WEEKDAY(E23,2),"Mon","Tue","Wed","Thu","Fri","Sat","Sun")</f>
        <v>Tue</v>
      </c>
      <c r="P23" s="21" t="n">
        <f aca="false">IFERROR(H23/G23,0)</f>
        <v>0.0691857845297575</v>
      </c>
      <c r="Q23" s="19" t="n">
        <f aca="false">IFERROR((I23+J23+K23)/H23,0)</f>
        <v>0.0545376467220155</v>
      </c>
      <c r="R23" s="27" t="n">
        <f aca="false">IFERROR(L23*60/H23,0)</f>
        <v>6.03950758660178</v>
      </c>
      <c r="S23" s="21" t="n">
        <f aca="false">IFERROR(R23/F23,0)</f>
        <v>0.410850856231413</v>
      </c>
      <c r="T23" s="20" t="n">
        <f aca="false">IFERROR(M23/H23,0)</f>
        <v>0.00365015745777269</v>
      </c>
      <c r="U23" s="17" t="str">
        <f aca="false">IF(F23&lt;1,"Under 1 min",IF(F23&lt;5,"1-5 min",IF(F23&lt;10,"5-10 min",IF(F23&lt;20,"10-20 min","20+ min"))))</f>
        <v>10-20 min</v>
      </c>
      <c r="V23" s="17" t="str">
        <f aca="false">IF(WEEKDAY(E23,2)&gt;5,"Weekend","Weekday")</f>
        <v>Weekday</v>
      </c>
    </row>
    <row r="24" customFormat="false" ht="15" hidden="false" customHeight="false" outlineLevel="0" collapsed="false">
      <c r="A24" s="17" t="s">
        <v>159</v>
      </c>
      <c r="B24" s="17" t="s">
        <v>160</v>
      </c>
      <c r="C24" s="17" t="s">
        <v>115</v>
      </c>
      <c r="D24" s="17" t="s">
        <v>121</v>
      </c>
      <c r="E24" s="23" t="n">
        <v>45952</v>
      </c>
      <c r="F24" s="24" t="n">
        <v>0.27</v>
      </c>
      <c r="G24" s="18" t="n">
        <v>643581</v>
      </c>
      <c r="H24" s="18" t="n">
        <v>55917</v>
      </c>
      <c r="I24" s="18" t="n">
        <v>1582</v>
      </c>
      <c r="J24" s="18" t="n">
        <v>26</v>
      </c>
      <c r="K24" s="18" t="n">
        <v>386</v>
      </c>
      <c r="L24" s="25" t="n">
        <v>183</v>
      </c>
      <c r="M24" s="18" t="n">
        <v>67</v>
      </c>
      <c r="N24" s="26" t="n">
        <f aca="false">DATE(YEAR(E24),MONTH(E24),1)</f>
        <v>45931</v>
      </c>
      <c r="O24" s="17" t="str">
        <f aca="false">CHOOSE(WEEKDAY(E24,2),"Mon","Tue","Wed","Thu","Fri","Sat","Sun")</f>
        <v>Wed</v>
      </c>
      <c r="P24" s="21" t="n">
        <f aca="false">IFERROR(H24/G24,0)</f>
        <v>0.0868841684263519</v>
      </c>
      <c r="Q24" s="19" t="n">
        <f aca="false">IFERROR((I24+J24+K24)/H24,0)</f>
        <v>0.0356599960655972</v>
      </c>
      <c r="R24" s="27" t="n">
        <f aca="false">IFERROR(L24*60/H24,0)</f>
        <v>0.196362465797521</v>
      </c>
      <c r="S24" s="21" t="n">
        <f aca="false">IFERROR(R24/F24,0)</f>
        <v>0.727268391842671</v>
      </c>
      <c r="T24" s="20" t="n">
        <f aca="false">IFERROR(M24/H24,0)</f>
        <v>0.00119820448164243</v>
      </c>
      <c r="U24" s="17" t="str">
        <f aca="false">IF(F24&lt;1,"Under 1 min",IF(F24&lt;5,"1-5 min",IF(F24&lt;10,"5-10 min",IF(F24&lt;20,"10-20 min","20+ min"))))</f>
        <v>Under 1 min</v>
      </c>
      <c r="V24" s="17" t="str">
        <f aca="false">IF(WEEKDAY(E24,2)&gt;5,"Weekend","Weekday")</f>
        <v>Weekday</v>
      </c>
    </row>
    <row r="25" customFormat="false" ht="15" hidden="false" customHeight="false" outlineLevel="0" collapsed="false">
      <c r="A25" s="17" t="s">
        <v>161</v>
      </c>
      <c r="B25" s="17" t="s">
        <v>162</v>
      </c>
      <c r="C25" s="17" t="s">
        <v>111</v>
      </c>
      <c r="D25" s="17" t="s">
        <v>112</v>
      </c>
      <c r="E25" s="23" t="n">
        <v>45954</v>
      </c>
      <c r="F25" s="24" t="n">
        <v>15.9</v>
      </c>
      <c r="G25" s="18" t="n">
        <v>719852</v>
      </c>
      <c r="H25" s="18" t="n">
        <v>30944</v>
      </c>
      <c r="I25" s="18" t="n">
        <v>1327</v>
      </c>
      <c r="J25" s="18" t="n">
        <v>114</v>
      </c>
      <c r="K25" s="18" t="n">
        <v>70</v>
      </c>
      <c r="L25" s="25" t="n">
        <v>3678.6</v>
      </c>
      <c r="M25" s="18" t="n">
        <v>200</v>
      </c>
      <c r="N25" s="26" t="n">
        <f aca="false">DATE(YEAR(E25),MONTH(E25),1)</f>
        <v>45931</v>
      </c>
      <c r="O25" s="17" t="str">
        <f aca="false">CHOOSE(WEEKDAY(E25,2),"Mon","Tue","Wed","Thu","Fri","Sat","Sun")</f>
        <v>Fri</v>
      </c>
      <c r="P25" s="21" t="n">
        <f aca="false">IFERROR(H25/G25,0)</f>
        <v>0.0429866139150825</v>
      </c>
      <c r="Q25" s="19" t="n">
        <f aca="false">IFERROR((I25+J25+K25)/H25,0)</f>
        <v>0.0488301447776629</v>
      </c>
      <c r="R25" s="27" t="n">
        <f aca="false">IFERROR(L25*60/H25,0)</f>
        <v>7.13275594622544</v>
      </c>
      <c r="S25" s="21" t="n">
        <f aca="false">IFERROR(R25/F25,0)</f>
        <v>0.44860100290726</v>
      </c>
      <c r="T25" s="20" t="n">
        <f aca="false">IFERROR(M25/H25,0)</f>
        <v>0.00646328852119959</v>
      </c>
      <c r="U25" s="17" t="str">
        <f aca="false">IF(F25&lt;1,"Under 1 min",IF(F25&lt;5,"1-5 min",IF(F25&lt;10,"5-10 min",IF(F25&lt;20,"10-20 min","20+ min"))))</f>
        <v>10-20 min</v>
      </c>
      <c r="V25" s="17" t="str">
        <f aca="false">IF(WEEKDAY(E25,2)&gt;5,"Weekend","Weekday")</f>
        <v>Weekday</v>
      </c>
    </row>
    <row r="26" customFormat="false" ht="15" hidden="false" customHeight="false" outlineLevel="0" collapsed="false">
      <c r="A26" s="17" t="s">
        <v>163</v>
      </c>
      <c r="B26" s="17" t="s">
        <v>164</v>
      </c>
      <c r="C26" s="17" t="s">
        <v>165</v>
      </c>
      <c r="D26" s="17" t="s">
        <v>112</v>
      </c>
      <c r="E26" s="23" t="n">
        <v>45963</v>
      </c>
      <c r="F26" s="24" t="n">
        <v>14.2</v>
      </c>
      <c r="G26" s="18" t="n">
        <v>315965</v>
      </c>
      <c r="H26" s="18" t="n">
        <v>25309</v>
      </c>
      <c r="I26" s="18" t="n">
        <v>1316</v>
      </c>
      <c r="J26" s="18" t="n">
        <v>73</v>
      </c>
      <c r="K26" s="18" t="n">
        <v>81</v>
      </c>
      <c r="L26" s="25" t="n">
        <v>2490.6</v>
      </c>
      <c r="M26" s="18" t="n">
        <v>92</v>
      </c>
      <c r="N26" s="26" t="n">
        <f aca="false">DATE(YEAR(E26),MONTH(E26),1)</f>
        <v>45962</v>
      </c>
      <c r="O26" s="17" t="str">
        <f aca="false">CHOOSE(WEEKDAY(E26,2),"Mon","Tue","Wed","Thu","Fri","Sat","Sun")</f>
        <v>Sun</v>
      </c>
      <c r="P26" s="21" t="n">
        <f aca="false">IFERROR(H26/G26,0)</f>
        <v>0.0801006440586774</v>
      </c>
      <c r="Q26" s="19" t="n">
        <f aca="false">IFERROR((I26+J26+K26)/H26,0)</f>
        <v>0.0580821051799755</v>
      </c>
      <c r="R26" s="27" t="n">
        <f aca="false">IFERROR(L26*60/H26,0)</f>
        <v>5.90446086372437</v>
      </c>
      <c r="S26" s="21" t="n">
        <f aca="false">IFERROR(R26/F26,0)</f>
        <v>0.415807103079181</v>
      </c>
      <c r="T26" s="20" t="n">
        <f aca="false">IFERROR(M26/H26,0)</f>
        <v>0.00363507052827058</v>
      </c>
      <c r="U26" s="17" t="str">
        <f aca="false">IF(F26&lt;1,"Under 1 min",IF(F26&lt;5,"1-5 min",IF(F26&lt;10,"5-10 min",IF(F26&lt;20,"10-20 min","20+ min"))))</f>
        <v>10-20 min</v>
      </c>
      <c r="V26" s="17" t="str">
        <f aca="false">IF(WEEKDAY(E26,2)&gt;5,"Weekend","Weekday")</f>
        <v>Weekend</v>
      </c>
    </row>
    <row r="27" customFormat="false" ht="15" hidden="false" customHeight="false" outlineLevel="0" collapsed="false">
      <c r="A27" s="17" t="s">
        <v>166</v>
      </c>
      <c r="B27" s="17" t="s">
        <v>167</v>
      </c>
      <c r="C27" s="17" t="s">
        <v>115</v>
      </c>
      <c r="D27" s="17" t="s">
        <v>112</v>
      </c>
      <c r="E27" s="23" t="n">
        <v>45975</v>
      </c>
      <c r="F27" s="24" t="n">
        <v>14.5</v>
      </c>
      <c r="G27" s="18" t="n">
        <v>449379</v>
      </c>
      <c r="H27" s="18" t="n">
        <v>25050</v>
      </c>
      <c r="I27" s="18" t="n">
        <v>895</v>
      </c>
      <c r="J27" s="18" t="n">
        <v>82</v>
      </c>
      <c r="K27" s="18" t="n">
        <v>82</v>
      </c>
      <c r="L27" s="25" t="n">
        <v>2502.2</v>
      </c>
      <c r="M27" s="18" t="n">
        <v>150</v>
      </c>
      <c r="N27" s="26" t="n">
        <f aca="false">DATE(YEAR(E27),MONTH(E27),1)</f>
        <v>45962</v>
      </c>
      <c r="O27" s="17" t="str">
        <f aca="false">CHOOSE(WEEKDAY(E27,2),"Mon","Tue","Wed","Thu","Fri","Sat","Sun")</f>
        <v>Fri</v>
      </c>
      <c r="P27" s="21" t="n">
        <f aca="false">IFERROR(H27/G27,0)</f>
        <v>0.0557435928247648</v>
      </c>
      <c r="Q27" s="19" t="n">
        <f aca="false">IFERROR((I27+J27+K27)/H27,0)</f>
        <v>0.0422754491017964</v>
      </c>
      <c r="R27" s="27" t="n">
        <f aca="false">IFERROR(L27*60/H27,0)</f>
        <v>5.99329341317365</v>
      </c>
      <c r="S27" s="21" t="n">
        <f aca="false">IFERROR(R27/F27,0)</f>
        <v>0.413330580218873</v>
      </c>
      <c r="T27" s="20" t="n">
        <f aca="false">IFERROR(M27/H27,0)</f>
        <v>0.00598802395209581</v>
      </c>
      <c r="U27" s="17" t="str">
        <f aca="false">IF(F27&lt;1,"Under 1 min",IF(F27&lt;5,"1-5 min",IF(F27&lt;10,"5-10 min",IF(F27&lt;20,"10-20 min","20+ min"))))</f>
        <v>10-20 min</v>
      </c>
      <c r="V27" s="17" t="str">
        <f aca="false">IF(WEEKDAY(E27,2)&gt;5,"Weekend","Weekday")</f>
        <v>Weekday</v>
      </c>
    </row>
    <row r="28" customFormat="false" ht="15" hidden="false" customHeight="false" outlineLevel="0" collapsed="false">
      <c r="A28" s="17" t="s">
        <v>168</v>
      </c>
      <c r="B28" s="17" t="s">
        <v>169</v>
      </c>
      <c r="C28" s="17" t="s">
        <v>111</v>
      </c>
      <c r="D28" s="17" t="s">
        <v>121</v>
      </c>
      <c r="E28" s="23" t="n">
        <v>45975</v>
      </c>
      <c r="F28" s="24" t="n">
        <v>0.82</v>
      </c>
      <c r="G28" s="18" t="n">
        <v>507272</v>
      </c>
      <c r="H28" s="18" t="n">
        <v>42648</v>
      </c>
      <c r="I28" s="18" t="n">
        <v>2051</v>
      </c>
      <c r="J28" s="18" t="n">
        <v>20</v>
      </c>
      <c r="K28" s="18" t="n">
        <v>259</v>
      </c>
      <c r="L28" s="25" t="n">
        <v>465.6</v>
      </c>
      <c r="M28" s="18" t="n">
        <v>89</v>
      </c>
      <c r="N28" s="26" t="n">
        <f aca="false">DATE(YEAR(E28),MONTH(E28),1)</f>
        <v>45962</v>
      </c>
      <c r="O28" s="17" t="str">
        <f aca="false">CHOOSE(WEEKDAY(E28,2),"Mon","Tue","Wed","Thu","Fri","Sat","Sun")</f>
        <v>Fri</v>
      </c>
      <c r="P28" s="21" t="n">
        <f aca="false">IFERROR(H28/G28,0)</f>
        <v>0.0840732388146793</v>
      </c>
      <c r="Q28" s="19" t="n">
        <f aca="false">IFERROR((I28+J28+K28)/H28,0)</f>
        <v>0.0546332770587132</v>
      </c>
      <c r="R28" s="27" t="n">
        <f aca="false">IFERROR(L28*60/H28,0)</f>
        <v>0.655036578503095</v>
      </c>
      <c r="S28" s="21" t="n">
        <f aca="false">IFERROR(R28/F28,0)</f>
        <v>0.798825095735482</v>
      </c>
      <c r="T28" s="20" t="n">
        <f aca="false">IFERROR(M28/H28,0)</f>
        <v>0.00208685049709248</v>
      </c>
      <c r="U28" s="17" t="str">
        <f aca="false">IF(F28&lt;1,"Under 1 min",IF(F28&lt;5,"1-5 min",IF(F28&lt;10,"5-10 min",IF(F28&lt;20,"10-20 min","20+ min"))))</f>
        <v>Under 1 min</v>
      </c>
      <c r="V28" s="17" t="str">
        <f aca="false">IF(WEEKDAY(E28,2)&gt;5,"Weekend","Weekday")</f>
        <v>Weekday</v>
      </c>
    </row>
    <row r="29" customFormat="false" ht="15" hidden="false" customHeight="false" outlineLevel="0" collapsed="false">
      <c r="A29" s="17" t="s">
        <v>170</v>
      </c>
      <c r="B29" s="17" t="s">
        <v>171</v>
      </c>
      <c r="C29" s="17" t="s">
        <v>118</v>
      </c>
      <c r="D29" s="17" t="s">
        <v>112</v>
      </c>
      <c r="E29" s="23" t="n">
        <v>45976</v>
      </c>
      <c r="F29" s="24" t="n">
        <v>16</v>
      </c>
      <c r="G29" s="18" t="n">
        <v>549700</v>
      </c>
      <c r="H29" s="18" t="n">
        <v>36204</v>
      </c>
      <c r="I29" s="18" t="n">
        <v>1233</v>
      </c>
      <c r="J29" s="18" t="n">
        <v>121</v>
      </c>
      <c r="K29" s="18" t="n">
        <v>150</v>
      </c>
      <c r="L29" s="25" t="n">
        <v>4153.7</v>
      </c>
      <c r="M29" s="18" t="n">
        <v>149</v>
      </c>
      <c r="N29" s="26" t="n">
        <f aca="false">DATE(YEAR(E29),MONTH(E29),1)</f>
        <v>45962</v>
      </c>
      <c r="O29" s="17" t="str">
        <f aca="false">CHOOSE(WEEKDAY(E29,2),"Mon","Tue","Wed","Thu","Fri","Sat","Sun")</f>
        <v>Sat</v>
      </c>
      <c r="P29" s="21" t="n">
        <f aca="false">IFERROR(H29/G29,0)</f>
        <v>0.065861378933964</v>
      </c>
      <c r="Q29" s="19" t="n">
        <f aca="false">IFERROR((I29+J29+K29)/H29,0)</f>
        <v>0.0415423710087283</v>
      </c>
      <c r="R29" s="27" t="n">
        <f aca="false">IFERROR(L29*60/H29,0)</f>
        <v>6.88382499171362</v>
      </c>
      <c r="S29" s="21" t="n">
        <f aca="false">IFERROR(R29/F29,0)</f>
        <v>0.430239061982101</v>
      </c>
      <c r="T29" s="20" t="n">
        <f aca="false">IFERROR(M29/H29,0)</f>
        <v>0.00411556734062535</v>
      </c>
      <c r="U29" s="17" t="str">
        <f aca="false">IF(F29&lt;1,"Under 1 min",IF(F29&lt;5,"1-5 min",IF(F29&lt;10,"5-10 min",IF(F29&lt;20,"10-20 min","20+ min"))))</f>
        <v>10-20 min</v>
      </c>
      <c r="V29" s="17" t="str">
        <f aca="false">IF(WEEKDAY(E29,2)&gt;5,"Weekend","Weekday")</f>
        <v>Weekend</v>
      </c>
    </row>
    <row r="30" customFormat="false" ht="15" hidden="false" customHeight="false" outlineLevel="0" collapsed="false">
      <c r="A30" s="17" t="s">
        <v>172</v>
      </c>
      <c r="B30" s="17" t="s">
        <v>173</v>
      </c>
      <c r="C30" s="17" t="s">
        <v>111</v>
      </c>
      <c r="D30" s="17" t="s">
        <v>112</v>
      </c>
      <c r="E30" s="23" t="n">
        <v>45977</v>
      </c>
      <c r="F30" s="24" t="n">
        <v>8.4</v>
      </c>
      <c r="G30" s="18" t="n">
        <v>375165</v>
      </c>
      <c r="H30" s="18" t="n">
        <v>17066</v>
      </c>
      <c r="I30" s="18" t="n">
        <v>716</v>
      </c>
      <c r="J30" s="18" t="n">
        <v>48</v>
      </c>
      <c r="K30" s="18" t="n">
        <v>87</v>
      </c>
      <c r="L30" s="25" t="n">
        <v>1086.6</v>
      </c>
      <c r="M30" s="18" t="n">
        <v>105</v>
      </c>
      <c r="N30" s="26" t="n">
        <f aca="false">DATE(YEAR(E30),MONTH(E30),1)</f>
        <v>45962</v>
      </c>
      <c r="O30" s="17" t="str">
        <f aca="false">CHOOSE(WEEKDAY(E30,2),"Mon","Tue","Wed","Thu","Fri","Sat","Sun")</f>
        <v>Sun</v>
      </c>
      <c r="P30" s="21" t="n">
        <f aca="false">IFERROR(H30/G30,0)</f>
        <v>0.0454893180333986</v>
      </c>
      <c r="Q30" s="19" t="n">
        <f aca="false">IFERROR((I30+J30+K30)/H30,0)</f>
        <v>0.0498652291105121</v>
      </c>
      <c r="R30" s="27" t="n">
        <f aca="false">IFERROR(L30*60/H30,0)</f>
        <v>3.82022735263096</v>
      </c>
      <c r="S30" s="21" t="n">
        <f aca="false">IFERROR(R30/F30,0)</f>
        <v>0.454788970551305</v>
      </c>
      <c r="T30" s="20" t="n">
        <f aca="false">IFERROR(M30/H30,0)</f>
        <v>0.00615258408531583</v>
      </c>
      <c r="U30" s="17" t="str">
        <f aca="false">IF(F30&lt;1,"Under 1 min",IF(F30&lt;5,"1-5 min",IF(F30&lt;10,"5-10 min",IF(F30&lt;20,"10-20 min","20+ min"))))</f>
        <v>5-10 min</v>
      </c>
      <c r="V30" s="17" t="str">
        <f aca="false">IF(WEEKDAY(E30,2)&gt;5,"Weekend","Weekday")</f>
        <v>Weekend</v>
      </c>
    </row>
    <row r="31" customFormat="false" ht="15" hidden="false" customHeight="false" outlineLevel="0" collapsed="false">
      <c r="A31" s="17" t="s">
        <v>174</v>
      </c>
      <c r="B31" s="17" t="s">
        <v>175</v>
      </c>
      <c r="C31" s="17" t="s">
        <v>128</v>
      </c>
      <c r="D31" s="17" t="s">
        <v>121</v>
      </c>
      <c r="E31" s="23" t="n">
        <v>45979</v>
      </c>
      <c r="F31" s="24" t="n">
        <v>0.62</v>
      </c>
      <c r="G31" s="18" t="n">
        <v>330763</v>
      </c>
      <c r="H31" s="18" t="n">
        <v>31743</v>
      </c>
      <c r="I31" s="18" t="n">
        <v>1193</v>
      </c>
      <c r="J31" s="18" t="n">
        <v>42</v>
      </c>
      <c r="K31" s="18" t="n">
        <v>230</v>
      </c>
      <c r="L31" s="25" t="n">
        <v>296.1</v>
      </c>
      <c r="M31" s="18" t="n">
        <v>84</v>
      </c>
      <c r="N31" s="26" t="n">
        <f aca="false">DATE(YEAR(E31),MONTH(E31),1)</f>
        <v>45962</v>
      </c>
      <c r="O31" s="17" t="str">
        <f aca="false">CHOOSE(WEEKDAY(E31,2),"Mon","Tue","Wed","Thu","Fri","Sat","Sun")</f>
        <v>Tue</v>
      </c>
      <c r="P31" s="21" t="n">
        <f aca="false">IFERROR(H31/G31,0)</f>
        <v>0.0959690170907871</v>
      </c>
      <c r="Q31" s="19" t="n">
        <f aca="false">IFERROR((I31+J31+K31)/H31,0)</f>
        <v>0.0461519075071669</v>
      </c>
      <c r="R31" s="27" t="n">
        <f aca="false">IFERROR(L31*60/H31,0)</f>
        <v>0.559682449673944</v>
      </c>
      <c r="S31" s="21" t="n">
        <f aca="false">IFERROR(R31/F31,0)</f>
        <v>0.902713628506361</v>
      </c>
      <c r="T31" s="20" t="n">
        <f aca="false">IFERROR(M31/H31,0)</f>
        <v>0.00264625271713449</v>
      </c>
      <c r="U31" s="17" t="str">
        <f aca="false">IF(F31&lt;1,"Under 1 min",IF(F31&lt;5,"1-5 min",IF(F31&lt;10,"5-10 min",IF(F31&lt;20,"10-20 min","20+ min"))))</f>
        <v>Under 1 min</v>
      </c>
      <c r="V31" s="17" t="str">
        <f aca="false">IF(WEEKDAY(E31,2)&gt;5,"Weekend","Weekday")</f>
        <v>Weekday</v>
      </c>
    </row>
    <row r="32" customFormat="false" ht="15" hidden="false" customHeight="false" outlineLevel="0" collapsed="false">
      <c r="A32" s="17" t="s">
        <v>176</v>
      </c>
      <c r="B32" s="17" t="s">
        <v>177</v>
      </c>
      <c r="C32" s="17" t="s">
        <v>115</v>
      </c>
      <c r="D32" s="17" t="s">
        <v>112</v>
      </c>
      <c r="E32" s="23" t="n">
        <v>45985</v>
      </c>
      <c r="F32" s="24" t="n">
        <v>13.4</v>
      </c>
      <c r="G32" s="18" t="n">
        <v>399247</v>
      </c>
      <c r="H32" s="18" t="n">
        <v>20998</v>
      </c>
      <c r="I32" s="18" t="n">
        <v>807</v>
      </c>
      <c r="J32" s="18" t="n">
        <v>49</v>
      </c>
      <c r="K32" s="18" t="n">
        <v>69</v>
      </c>
      <c r="L32" s="25" t="n">
        <v>2074.2</v>
      </c>
      <c r="M32" s="18" t="n">
        <v>69</v>
      </c>
      <c r="N32" s="26" t="n">
        <f aca="false">DATE(YEAR(E32),MONTH(E32),1)</f>
        <v>45962</v>
      </c>
      <c r="O32" s="17" t="str">
        <f aca="false">CHOOSE(WEEKDAY(E32,2),"Mon","Tue","Wed","Thu","Fri","Sat","Sun")</f>
        <v>Mon</v>
      </c>
      <c r="P32" s="21" t="n">
        <f aca="false">IFERROR(H32/G32,0)</f>
        <v>0.052594008220475</v>
      </c>
      <c r="Q32" s="19" t="n">
        <f aca="false">IFERROR((I32+J32+K32)/H32,0)</f>
        <v>0.0440518144585199</v>
      </c>
      <c r="R32" s="27" t="n">
        <f aca="false">IFERROR(L32*60/H32,0)</f>
        <v>5.92685017620726</v>
      </c>
      <c r="S32" s="21" t="n">
        <f aca="false">IFERROR(R32/F32,0)</f>
        <v>0.442302251955765</v>
      </c>
      <c r="T32" s="20" t="n">
        <f aca="false">IFERROR(M32/H32,0)</f>
        <v>0.00328602724068959</v>
      </c>
      <c r="U32" s="17" t="str">
        <f aca="false">IF(F32&lt;1,"Under 1 min",IF(F32&lt;5,"1-5 min",IF(F32&lt;10,"5-10 min",IF(F32&lt;20,"10-20 min","20+ min"))))</f>
        <v>10-20 min</v>
      </c>
      <c r="V32" s="17" t="str">
        <f aca="false">IF(WEEKDAY(E32,2)&gt;5,"Weekend","Weekday")</f>
        <v>Weekday</v>
      </c>
    </row>
    <row r="33" customFormat="false" ht="15" hidden="false" customHeight="false" outlineLevel="0" collapsed="false">
      <c r="A33" s="17" t="s">
        <v>178</v>
      </c>
      <c r="B33" s="17" t="s">
        <v>179</v>
      </c>
      <c r="C33" s="17" t="s">
        <v>111</v>
      </c>
      <c r="D33" s="17" t="s">
        <v>112</v>
      </c>
      <c r="E33" s="23" t="n">
        <v>45986</v>
      </c>
      <c r="F33" s="24" t="n">
        <v>6.5</v>
      </c>
      <c r="G33" s="18" t="n">
        <v>662783</v>
      </c>
      <c r="H33" s="18" t="n">
        <v>46699</v>
      </c>
      <c r="I33" s="18" t="n">
        <v>1831</v>
      </c>
      <c r="J33" s="18" t="n">
        <v>121</v>
      </c>
      <c r="K33" s="18" t="n">
        <v>225</v>
      </c>
      <c r="L33" s="25" t="n">
        <v>2603.9</v>
      </c>
      <c r="M33" s="18" t="n">
        <v>240</v>
      </c>
      <c r="N33" s="26" t="n">
        <f aca="false">DATE(YEAR(E33),MONTH(E33),1)</f>
        <v>45962</v>
      </c>
      <c r="O33" s="17" t="str">
        <f aca="false">CHOOSE(WEEKDAY(E33,2),"Mon","Tue","Wed","Thu","Fri","Sat","Sun")</f>
        <v>Tue</v>
      </c>
      <c r="P33" s="21" t="n">
        <f aca="false">IFERROR(H33/G33,0)</f>
        <v>0.0704589586636954</v>
      </c>
      <c r="Q33" s="19" t="n">
        <f aca="false">IFERROR((I33+J33+K33)/H33,0)</f>
        <v>0.0466177005931605</v>
      </c>
      <c r="R33" s="27" t="n">
        <f aca="false">IFERROR(L33*60/H33,0)</f>
        <v>3.34555343797512</v>
      </c>
      <c r="S33" s="21" t="n">
        <f aca="false">IFERROR(R33/F33,0)</f>
        <v>0.514700528919249</v>
      </c>
      <c r="T33" s="20" t="n">
        <f aca="false">IFERROR(M33/H33,0)</f>
        <v>0.00513929634467548</v>
      </c>
      <c r="U33" s="17" t="str">
        <f aca="false">IF(F33&lt;1,"Under 1 min",IF(F33&lt;5,"1-5 min",IF(F33&lt;10,"5-10 min",IF(F33&lt;20,"10-20 min","20+ min"))))</f>
        <v>5-10 min</v>
      </c>
      <c r="V33" s="17" t="str">
        <f aca="false">IF(WEEKDAY(E33,2)&gt;5,"Weekend","Weekday")</f>
        <v>Weekday</v>
      </c>
    </row>
    <row r="34" customFormat="false" ht="15" hidden="false" customHeight="false" outlineLevel="0" collapsed="false">
      <c r="A34" s="17" t="s">
        <v>180</v>
      </c>
      <c r="B34" s="17" t="s">
        <v>181</v>
      </c>
      <c r="C34" s="17" t="s">
        <v>128</v>
      </c>
      <c r="D34" s="17" t="s">
        <v>112</v>
      </c>
      <c r="E34" s="23" t="n">
        <v>45986</v>
      </c>
      <c r="F34" s="24" t="n">
        <v>24.5</v>
      </c>
      <c r="G34" s="18" t="n">
        <v>222621</v>
      </c>
      <c r="H34" s="18" t="n">
        <v>9190</v>
      </c>
      <c r="I34" s="18" t="n">
        <v>380</v>
      </c>
      <c r="J34" s="18" t="n">
        <v>38</v>
      </c>
      <c r="K34" s="18" t="n">
        <v>39</v>
      </c>
      <c r="L34" s="25" t="n">
        <v>1141.5</v>
      </c>
      <c r="M34" s="18" t="n">
        <v>67</v>
      </c>
      <c r="N34" s="26" t="n">
        <f aca="false">DATE(YEAR(E34),MONTH(E34),1)</f>
        <v>45962</v>
      </c>
      <c r="O34" s="17" t="str">
        <f aca="false">CHOOSE(WEEKDAY(E34,2),"Mon","Tue","Wed","Thu","Fri","Sat","Sun")</f>
        <v>Tue</v>
      </c>
      <c r="P34" s="21" t="n">
        <f aca="false">IFERROR(H34/G34,0)</f>
        <v>0.0412809213865718</v>
      </c>
      <c r="Q34" s="19" t="n">
        <f aca="false">IFERROR((I34+J34+K34)/H34,0)</f>
        <v>0.049727965179543</v>
      </c>
      <c r="R34" s="27" t="n">
        <f aca="false">IFERROR(L34*60/H34,0)</f>
        <v>7.45266594124048</v>
      </c>
      <c r="S34" s="21" t="n">
        <f aca="false">IFERROR(R34/F34,0)</f>
        <v>0.304190446581244</v>
      </c>
      <c r="T34" s="20" t="n">
        <f aca="false">IFERROR(M34/H34,0)</f>
        <v>0.0072905331882481</v>
      </c>
      <c r="U34" s="17" t="str">
        <f aca="false">IF(F34&lt;1,"Under 1 min",IF(F34&lt;5,"1-5 min",IF(F34&lt;10,"5-10 min",IF(F34&lt;20,"10-20 min","20+ min"))))</f>
        <v>20+ min</v>
      </c>
      <c r="V34" s="17" t="str">
        <f aca="false">IF(WEEKDAY(E34,2)&gt;5,"Weekend","Weekday")</f>
        <v>Weekday</v>
      </c>
    </row>
    <row r="35" customFormat="false" ht="15" hidden="false" customHeight="false" outlineLevel="0" collapsed="false">
      <c r="A35" s="17" t="s">
        <v>182</v>
      </c>
      <c r="B35" s="17" t="s">
        <v>183</v>
      </c>
      <c r="C35" s="17" t="s">
        <v>128</v>
      </c>
      <c r="D35" s="17" t="s">
        <v>112</v>
      </c>
      <c r="E35" s="23" t="n">
        <v>45987</v>
      </c>
      <c r="F35" s="24" t="n">
        <v>16.7</v>
      </c>
      <c r="G35" s="18" t="n">
        <v>245865</v>
      </c>
      <c r="H35" s="18" t="n">
        <v>16437</v>
      </c>
      <c r="I35" s="18" t="n">
        <v>560</v>
      </c>
      <c r="J35" s="18" t="n">
        <v>57</v>
      </c>
      <c r="K35" s="18" t="n">
        <v>77</v>
      </c>
      <c r="L35" s="25" t="n">
        <v>1980.3</v>
      </c>
      <c r="M35" s="18" t="n">
        <v>108</v>
      </c>
      <c r="N35" s="26" t="n">
        <f aca="false">DATE(YEAR(E35),MONTH(E35),1)</f>
        <v>45962</v>
      </c>
      <c r="O35" s="17" t="str">
        <f aca="false">CHOOSE(WEEKDAY(E35,2),"Mon","Tue","Wed","Thu","Fri","Sat","Sun")</f>
        <v>Wed</v>
      </c>
      <c r="P35" s="21" t="n">
        <f aca="false">IFERROR(H35/G35,0)</f>
        <v>0.0668537612104204</v>
      </c>
      <c r="Q35" s="19" t="n">
        <f aca="false">IFERROR((I35+J35+K35)/H35,0)</f>
        <v>0.0422218166332056</v>
      </c>
      <c r="R35" s="27" t="n">
        <f aca="false">IFERROR(L35*60/H35,0)</f>
        <v>7.22869136703778</v>
      </c>
      <c r="S35" s="21" t="n">
        <f aca="false">IFERROR(R35/F35,0)</f>
        <v>0.432855770481304</v>
      </c>
      <c r="T35" s="20" t="n">
        <f aca="false">IFERROR(M35/H35,0)</f>
        <v>0.00657054206972075</v>
      </c>
      <c r="U35" s="17" t="str">
        <f aca="false">IF(F35&lt;1,"Under 1 min",IF(F35&lt;5,"1-5 min",IF(F35&lt;10,"5-10 min",IF(F35&lt;20,"10-20 min","20+ min"))))</f>
        <v>10-20 min</v>
      </c>
      <c r="V35" s="17" t="str">
        <f aca="false">IF(WEEKDAY(E35,2)&gt;5,"Weekend","Weekday")</f>
        <v>Weekday</v>
      </c>
    </row>
    <row r="36" customFormat="false" ht="15" hidden="false" customHeight="false" outlineLevel="0" collapsed="false">
      <c r="A36" s="17" t="s">
        <v>184</v>
      </c>
      <c r="B36" s="17" t="s">
        <v>185</v>
      </c>
      <c r="C36" s="17" t="s">
        <v>118</v>
      </c>
      <c r="D36" s="17" t="s">
        <v>121</v>
      </c>
      <c r="E36" s="23" t="n">
        <v>45987</v>
      </c>
      <c r="F36" s="24" t="n">
        <v>0.93</v>
      </c>
      <c r="G36" s="18" t="n">
        <v>502781</v>
      </c>
      <c r="H36" s="18" t="n">
        <v>41005</v>
      </c>
      <c r="I36" s="18" t="n">
        <v>1552</v>
      </c>
      <c r="J36" s="18" t="n">
        <v>31</v>
      </c>
      <c r="K36" s="18" t="n">
        <v>236</v>
      </c>
      <c r="L36" s="25" t="n">
        <v>538.5</v>
      </c>
      <c r="M36" s="18" t="n">
        <v>50</v>
      </c>
      <c r="N36" s="26" t="n">
        <f aca="false">DATE(YEAR(E36),MONTH(E36),1)</f>
        <v>45962</v>
      </c>
      <c r="O36" s="17" t="str">
        <f aca="false">CHOOSE(WEEKDAY(E36,2),"Mon","Tue","Wed","Thu","Fri","Sat","Sun")</f>
        <v>Wed</v>
      </c>
      <c r="P36" s="21" t="n">
        <f aca="false">IFERROR(H36/G36,0)</f>
        <v>0.0815563833955539</v>
      </c>
      <c r="Q36" s="19" t="n">
        <f aca="false">IFERROR((I36+J36+K36)/H36,0)</f>
        <v>0.0443604438483112</v>
      </c>
      <c r="R36" s="27" t="n">
        <f aca="false">IFERROR(L36*60/H36,0)</f>
        <v>0.787952688696501</v>
      </c>
      <c r="S36" s="21" t="n">
        <f aca="false">IFERROR(R36/F36,0)</f>
        <v>0.847260955587635</v>
      </c>
      <c r="T36" s="20" t="n">
        <f aca="false">IFERROR(M36/H36,0)</f>
        <v>0.00121936349225704</v>
      </c>
      <c r="U36" s="17" t="str">
        <f aca="false">IF(F36&lt;1,"Under 1 min",IF(F36&lt;5,"1-5 min",IF(F36&lt;10,"5-10 min",IF(F36&lt;20,"10-20 min","20+ min"))))</f>
        <v>Under 1 min</v>
      </c>
      <c r="V36" s="17" t="str">
        <f aca="false">IF(WEEKDAY(E36,2)&gt;5,"Weekend","Weekday")</f>
        <v>Weekday</v>
      </c>
    </row>
    <row r="37" customFormat="false" ht="15" hidden="false" customHeight="false" outlineLevel="0" collapsed="false">
      <c r="A37" s="17" t="s">
        <v>186</v>
      </c>
      <c r="B37" s="17" t="s">
        <v>187</v>
      </c>
      <c r="C37" s="17" t="s">
        <v>111</v>
      </c>
      <c r="D37" s="17" t="s">
        <v>112</v>
      </c>
      <c r="E37" s="23" t="n">
        <v>45990</v>
      </c>
      <c r="F37" s="24" t="n">
        <v>15.4</v>
      </c>
      <c r="G37" s="18" t="n">
        <v>601405</v>
      </c>
      <c r="H37" s="18" t="n">
        <v>38749</v>
      </c>
      <c r="I37" s="18" t="n">
        <v>1448</v>
      </c>
      <c r="J37" s="18" t="n">
        <v>179</v>
      </c>
      <c r="K37" s="18" t="n">
        <v>118</v>
      </c>
      <c r="L37" s="25" t="n">
        <v>4506.5</v>
      </c>
      <c r="M37" s="18" t="n">
        <v>221</v>
      </c>
      <c r="N37" s="26" t="n">
        <f aca="false">DATE(YEAR(E37),MONTH(E37),1)</f>
        <v>45962</v>
      </c>
      <c r="O37" s="17" t="str">
        <f aca="false">CHOOSE(WEEKDAY(E37,2),"Mon","Tue","Wed","Thu","Fri","Sat","Sun")</f>
        <v>Sat</v>
      </c>
      <c r="P37" s="21" t="n">
        <f aca="false">IFERROR(H37/G37,0)</f>
        <v>0.0644307912305352</v>
      </c>
      <c r="Q37" s="19" t="n">
        <f aca="false">IFERROR((I37+J37+K37)/H37,0)</f>
        <v>0.0450334202172959</v>
      </c>
      <c r="R37" s="27" t="n">
        <f aca="false">IFERROR(L37*60/H37,0)</f>
        <v>6.97798652868461</v>
      </c>
      <c r="S37" s="21" t="n">
        <f aca="false">IFERROR(R37/F37,0)</f>
        <v>0.453116008356144</v>
      </c>
      <c r="T37" s="20" t="n">
        <f aca="false">IFERROR(M37/H37,0)</f>
        <v>0.00570337299027072</v>
      </c>
      <c r="U37" s="17" t="str">
        <f aca="false">IF(F37&lt;1,"Under 1 min",IF(F37&lt;5,"1-5 min",IF(F37&lt;10,"5-10 min",IF(F37&lt;20,"10-20 min","20+ min"))))</f>
        <v>10-20 min</v>
      </c>
      <c r="V37" s="17" t="str">
        <f aca="false">IF(WEEKDAY(E37,2)&gt;5,"Weekend","Weekday")</f>
        <v>Weekend</v>
      </c>
    </row>
    <row r="38" customFormat="false" ht="15" hidden="false" customHeight="false" outlineLevel="0" collapsed="false">
      <c r="A38" s="17" t="s">
        <v>188</v>
      </c>
      <c r="B38" s="17" t="s">
        <v>189</v>
      </c>
      <c r="C38" s="17" t="s">
        <v>111</v>
      </c>
      <c r="D38" s="17" t="s">
        <v>112</v>
      </c>
      <c r="E38" s="23" t="n">
        <v>45992</v>
      </c>
      <c r="F38" s="24" t="n">
        <v>10.3</v>
      </c>
      <c r="G38" s="18" t="n">
        <v>445068</v>
      </c>
      <c r="H38" s="18" t="n">
        <v>25891</v>
      </c>
      <c r="I38" s="18" t="n">
        <v>1521</v>
      </c>
      <c r="J38" s="18" t="n">
        <v>99</v>
      </c>
      <c r="K38" s="18" t="n">
        <v>112</v>
      </c>
      <c r="L38" s="25" t="n">
        <v>1683.1</v>
      </c>
      <c r="M38" s="18" t="n">
        <v>147</v>
      </c>
      <c r="N38" s="26" t="n">
        <f aca="false">DATE(YEAR(E38),MONTH(E38),1)</f>
        <v>45992</v>
      </c>
      <c r="O38" s="17" t="str">
        <f aca="false">CHOOSE(WEEKDAY(E38,2),"Mon","Tue","Wed","Thu","Fri","Sat","Sun")</f>
        <v>Mon</v>
      </c>
      <c r="P38" s="21" t="n">
        <f aca="false">IFERROR(H38/G38,0)</f>
        <v>0.0581731330942687</v>
      </c>
      <c r="Q38" s="19" t="n">
        <f aca="false">IFERROR((I38+J38+K38)/H38,0)</f>
        <v>0.0668958325286779</v>
      </c>
      <c r="R38" s="27" t="n">
        <f aca="false">IFERROR(L38*60/H38,0)</f>
        <v>3.90042872040477</v>
      </c>
      <c r="S38" s="21" t="n">
        <f aca="false">IFERROR(R38/F38,0)</f>
        <v>0.378682400039298</v>
      </c>
      <c r="T38" s="20" t="n">
        <f aca="false">IFERROR(M38/H38,0)</f>
        <v>0.00567764860376193</v>
      </c>
      <c r="U38" s="17" t="str">
        <f aca="false">IF(F38&lt;1,"Under 1 min",IF(F38&lt;5,"1-5 min",IF(F38&lt;10,"5-10 min",IF(F38&lt;20,"10-20 min","20+ min"))))</f>
        <v>10-20 min</v>
      </c>
      <c r="V38" s="17" t="str">
        <f aca="false">IF(WEEKDAY(E38,2)&gt;5,"Weekend","Weekday")</f>
        <v>Weekday</v>
      </c>
    </row>
    <row r="39" customFormat="false" ht="15" hidden="false" customHeight="false" outlineLevel="0" collapsed="false">
      <c r="A39" s="17" t="s">
        <v>190</v>
      </c>
      <c r="B39" s="17" t="s">
        <v>191</v>
      </c>
      <c r="C39" s="17" t="s">
        <v>118</v>
      </c>
      <c r="D39" s="17" t="s">
        <v>112</v>
      </c>
      <c r="E39" s="23" t="n">
        <v>45997</v>
      </c>
      <c r="F39" s="24" t="n">
        <v>6.8</v>
      </c>
      <c r="G39" s="18" t="n">
        <v>495250</v>
      </c>
      <c r="H39" s="18" t="n">
        <v>29669</v>
      </c>
      <c r="I39" s="18" t="n">
        <v>1012</v>
      </c>
      <c r="J39" s="18" t="n">
        <v>94</v>
      </c>
      <c r="K39" s="18" t="n">
        <v>152</v>
      </c>
      <c r="L39" s="25" t="n">
        <v>2058.8</v>
      </c>
      <c r="M39" s="18" t="n">
        <v>126</v>
      </c>
      <c r="N39" s="26" t="n">
        <f aca="false">DATE(YEAR(E39),MONTH(E39),1)</f>
        <v>45992</v>
      </c>
      <c r="O39" s="17" t="str">
        <f aca="false">CHOOSE(WEEKDAY(E39,2),"Mon","Tue","Wed","Thu","Fri","Sat","Sun")</f>
        <v>Sat</v>
      </c>
      <c r="P39" s="21" t="n">
        <f aca="false">IFERROR(H39/G39,0)</f>
        <v>0.059907117617365</v>
      </c>
      <c r="Q39" s="19" t="n">
        <f aca="false">IFERROR((I39+J39+K39)/H39,0)</f>
        <v>0.0424011594593684</v>
      </c>
      <c r="R39" s="27" t="n">
        <f aca="false">IFERROR(L39*60/H39,0)</f>
        <v>4.16353769928208</v>
      </c>
      <c r="S39" s="21" t="n">
        <f aca="false">IFERROR(R39/F39,0)</f>
        <v>0.612284955776776</v>
      </c>
      <c r="T39" s="20" t="n">
        <f aca="false">IFERROR(M39/H39,0)</f>
        <v>0.00424685698877616</v>
      </c>
      <c r="U39" s="17" t="str">
        <f aca="false">IF(F39&lt;1,"Under 1 min",IF(F39&lt;5,"1-5 min",IF(F39&lt;10,"5-10 min",IF(F39&lt;20,"10-20 min","20+ min"))))</f>
        <v>5-10 min</v>
      </c>
      <c r="V39" s="17" t="str">
        <f aca="false">IF(WEEKDAY(E39,2)&gt;5,"Weekend","Weekday")</f>
        <v>Weekend</v>
      </c>
    </row>
    <row r="40" customFormat="false" ht="15" hidden="false" customHeight="false" outlineLevel="0" collapsed="false">
      <c r="A40" s="17" t="s">
        <v>192</v>
      </c>
      <c r="B40" s="17" t="s">
        <v>193</v>
      </c>
      <c r="C40" s="17" t="s">
        <v>115</v>
      </c>
      <c r="D40" s="17" t="s">
        <v>112</v>
      </c>
      <c r="E40" s="23" t="n">
        <v>46003</v>
      </c>
      <c r="F40" s="24" t="n">
        <v>15.7</v>
      </c>
      <c r="G40" s="18" t="n">
        <v>961422</v>
      </c>
      <c r="H40" s="18" t="n">
        <v>53273</v>
      </c>
      <c r="I40" s="18" t="n">
        <v>2423</v>
      </c>
      <c r="J40" s="18" t="n">
        <v>155</v>
      </c>
      <c r="K40" s="18" t="n">
        <v>78</v>
      </c>
      <c r="L40" s="25" t="n">
        <v>4461.9</v>
      </c>
      <c r="M40" s="18" t="n">
        <v>217</v>
      </c>
      <c r="N40" s="26" t="n">
        <f aca="false">DATE(YEAR(E40),MONTH(E40),1)</f>
        <v>45992</v>
      </c>
      <c r="O40" s="17" t="str">
        <f aca="false">CHOOSE(WEEKDAY(E40,2),"Mon","Tue","Wed","Thu","Fri","Sat","Sun")</f>
        <v>Fri</v>
      </c>
      <c r="P40" s="21" t="n">
        <f aca="false">IFERROR(H40/G40,0)</f>
        <v>0.0554106313356674</v>
      </c>
      <c r="Q40" s="19" t="n">
        <f aca="false">IFERROR((I40+J40+K40)/H40,0)</f>
        <v>0.0498564000525595</v>
      </c>
      <c r="R40" s="27" t="n">
        <f aca="false">IFERROR(L40*60/H40,0)</f>
        <v>5.02532239596043</v>
      </c>
      <c r="S40" s="21" t="n">
        <f aca="false">IFERROR(R40/F40,0)</f>
        <v>0.320084229042066</v>
      </c>
      <c r="T40" s="20" t="n">
        <f aca="false">IFERROR(M40/H40,0)</f>
        <v>0.00407335798622191</v>
      </c>
      <c r="U40" s="17" t="str">
        <f aca="false">IF(F40&lt;1,"Under 1 min",IF(F40&lt;5,"1-5 min",IF(F40&lt;10,"5-10 min",IF(F40&lt;20,"10-20 min","20+ min"))))</f>
        <v>10-20 min</v>
      </c>
      <c r="V40" s="17" t="str">
        <f aca="false">IF(WEEKDAY(E40,2)&gt;5,"Weekend","Weekday")</f>
        <v>Weekday</v>
      </c>
    </row>
    <row r="41" customFormat="false" ht="15" hidden="false" customHeight="false" outlineLevel="0" collapsed="false">
      <c r="A41" s="17" t="s">
        <v>194</v>
      </c>
      <c r="B41" s="17" t="s">
        <v>195</v>
      </c>
      <c r="C41" s="17" t="s">
        <v>128</v>
      </c>
      <c r="D41" s="17" t="s">
        <v>112</v>
      </c>
      <c r="E41" s="23" t="n">
        <v>46005</v>
      </c>
      <c r="F41" s="24" t="n">
        <v>13.5</v>
      </c>
      <c r="G41" s="18" t="n">
        <v>386821</v>
      </c>
      <c r="H41" s="18" t="n">
        <v>27677</v>
      </c>
      <c r="I41" s="18" t="n">
        <v>973</v>
      </c>
      <c r="J41" s="18" t="n">
        <v>121</v>
      </c>
      <c r="K41" s="18" t="n">
        <v>131</v>
      </c>
      <c r="L41" s="25" t="n">
        <v>2724.2</v>
      </c>
      <c r="M41" s="18" t="n">
        <v>148</v>
      </c>
      <c r="N41" s="26" t="n">
        <f aca="false">DATE(YEAR(E41),MONTH(E41),1)</f>
        <v>45992</v>
      </c>
      <c r="O41" s="17" t="str">
        <f aca="false">CHOOSE(WEEKDAY(E41,2),"Mon","Tue","Wed","Thu","Fri","Sat","Sun")</f>
        <v>Sun</v>
      </c>
      <c r="P41" s="21" t="n">
        <f aca="false">IFERROR(H41/G41,0)</f>
        <v>0.0715498900008014</v>
      </c>
      <c r="Q41" s="19" t="n">
        <f aca="false">IFERROR((I41+J41+K41)/H41,0)</f>
        <v>0.0442605773747155</v>
      </c>
      <c r="R41" s="27" t="n">
        <f aca="false">IFERROR(L41*60/H41,0)</f>
        <v>5.90569787187918</v>
      </c>
      <c r="S41" s="21" t="n">
        <f aca="false">IFERROR(R41/F41,0)</f>
        <v>0.43745910162068</v>
      </c>
      <c r="T41" s="20" t="n">
        <f aca="false">IFERROR(M41/H41,0)</f>
        <v>0.00534740036853705</v>
      </c>
      <c r="U41" s="17" t="str">
        <f aca="false">IF(F41&lt;1,"Under 1 min",IF(F41&lt;5,"1-5 min",IF(F41&lt;10,"5-10 min",IF(F41&lt;20,"10-20 min","20+ min"))))</f>
        <v>10-20 min</v>
      </c>
      <c r="V41" s="17" t="str">
        <f aca="false">IF(WEEKDAY(E41,2)&gt;5,"Weekend","Weekday")</f>
        <v>Weekend</v>
      </c>
    </row>
    <row r="42" customFormat="false" ht="15" hidden="false" customHeight="false" outlineLevel="0" collapsed="false">
      <c r="A42" s="17" t="s">
        <v>196</v>
      </c>
      <c r="B42" s="17" t="s">
        <v>197</v>
      </c>
      <c r="C42" s="17" t="s">
        <v>118</v>
      </c>
      <c r="D42" s="17" t="s">
        <v>112</v>
      </c>
      <c r="E42" s="23" t="n">
        <v>46005</v>
      </c>
      <c r="F42" s="24" t="n">
        <v>20.5</v>
      </c>
      <c r="G42" s="18" t="n">
        <v>315684</v>
      </c>
      <c r="H42" s="18" t="n">
        <v>13233</v>
      </c>
      <c r="I42" s="18" t="n">
        <v>596</v>
      </c>
      <c r="J42" s="18" t="n">
        <v>32</v>
      </c>
      <c r="K42" s="18" t="n">
        <v>29</v>
      </c>
      <c r="L42" s="25" t="n">
        <v>2193.3</v>
      </c>
      <c r="M42" s="18" t="n">
        <v>55</v>
      </c>
      <c r="N42" s="26" t="n">
        <f aca="false">DATE(YEAR(E42),MONTH(E42),1)</f>
        <v>45992</v>
      </c>
      <c r="O42" s="17" t="str">
        <f aca="false">CHOOSE(WEEKDAY(E42,2),"Mon","Tue","Wed","Thu","Fri","Sat","Sun")</f>
        <v>Sun</v>
      </c>
      <c r="P42" s="21" t="n">
        <f aca="false">IFERROR(H42/G42,0)</f>
        <v>0.0419185007792603</v>
      </c>
      <c r="Q42" s="19" t="n">
        <f aca="false">IFERROR((I42+J42+K42)/H42,0)</f>
        <v>0.0496486057583314</v>
      </c>
      <c r="R42" s="27" t="n">
        <f aca="false">IFERROR(L42*60/H42,0)</f>
        <v>9.9446837451825</v>
      </c>
      <c r="S42" s="21" t="n">
        <f aca="false">IFERROR(R42/F42,0)</f>
        <v>0.485106524155244</v>
      </c>
      <c r="T42" s="20" t="n">
        <f aca="false">IFERROR(M42/H42,0)</f>
        <v>0.00415627597672486</v>
      </c>
      <c r="U42" s="17" t="str">
        <f aca="false">IF(F42&lt;1,"Under 1 min",IF(F42&lt;5,"1-5 min",IF(F42&lt;10,"5-10 min",IF(F42&lt;20,"10-20 min","20+ min"))))</f>
        <v>20+ min</v>
      </c>
      <c r="V42" s="17" t="str">
        <f aca="false">IF(WEEKDAY(E42,2)&gt;5,"Weekend","Weekday")</f>
        <v>Weekend</v>
      </c>
    </row>
    <row r="43" customFormat="false" ht="15" hidden="false" customHeight="false" outlineLevel="0" collapsed="false">
      <c r="A43" s="17" t="s">
        <v>198</v>
      </c>
      <c r="B43" s="17" t="s">
        <v>199</v>
      </c>
      <c r="C43" s="17" t="s">
        <v>115</v>
      </c>
      <c r="D43" s="17" t="s">
        <v>112</v>
      </c>
      <c r="E43" s="23" t="n">
        <v>46008</v>
      </c>
      <c r="F43" s="24" t="n">
        <v>13.1</v>
      </c>
      <c r="G43" s="18" t="n">
        <v>991147</v>
      </c>
      <c r="H43" s="18" t="n">
        <v>47076</v>
      </c>
      <c r="I43" s="18" t="n">
        <v>1923</v>
      </c>
      <c r="J43" s="18" t="n">
        <v>124</v>
      </c>
      <c r="K43" s="18" t="n">
        <v>179</v>
      </c>
      <c r="L43" s="25" t="n">
        <v>4611.8</v>
      </c>
      <c r="M43" s="18" t="n">
        <v>288</v>
      </c>
      <c r="N43" s="26" t="n">
        <f aca="false">DATE(YEAR(E43),MONTH(E43),1)</f>
        <v>45992</v>
      </c>
      <c r="O43" s="17" t="str">
        <f aca="false">CHOOSE(WEEKDAY(E43,2),"Mon","Tue","Wed","Thu","Fri","Sat","Sun")</f>
        <v>Wed</v>
      </c>
      <c r="P43" s="21" t="n">
        <f aca="false">IFERROR(H43/G43,0)</f>
        <v>0.0474964863940465</v>
      </c>
      <c r="Q43" s="19" t="n">
        <f aca="false">IFERROR((I43+J43+K43)/H43,0)</f>
        <v>0.0472852408870762</v>
      </c>
      <c r="R43" s="27" t="n">
        <f aca="false">IFERROR(L43*60/H43,0)</f>
        <v>5.87789956665817</v>
      </c>
      <c r="S43" s="21" t="n">
        <f aca="false">IFERROR(R43/F43,0)</f>
        <v>0.448694623409021</v>
      </c>
      <c r="T43" s="20" t="n">
        <f aca="false">IFERROR(M43/H43,0)</f>
        <v>0.00611776701503951</v>
      </c>
      <c r="U43" s="17" t="str">
        <f aca="false">IF(F43&lt;1,"Under 1 min",IF(F43&lt;5,"1-5 min",IF(F43&lt;10,"5-10 min",IF(F43&lt;20,"10-20 min","20+ min"))))</f>
        <v>10-20 min</v>
      </c>
      <c r="V43" s="17" t="str">
        <f aca="false">IF(WEEKDAY(E43,2)&gt;5,"Weekend","Weekday")</f>
        <v>Weekday</v>
      </c>
    </row>
    <row r="44" customFormat="false" ht="15" hidden="false" customHeight="false" outlineLevel="0" collapsed="false">
      <c r="A44" s="17" t="s">
        <v>200</v>
      </c>
      <c r="B44" s="17" t="s">
        <v>201</v>
      </c>
      <c r="C44" s="17" t="s">
        <v>202</v>
      </c>
      <c r="D44" s="17" t="s">
        <v>112</v>
      </c>
      <c r="E44" s="23" t="n">
        <v>46011</v>
      </c>
      <c r="F44" s="24" t="n">
        <v>25.7</v>
      </c>
      <c r="G44" s="18" t="n">
        <v>97882</v>
      </c>
      <c r="H44" s="18" t="n">
        <v>4577</v>
      </c>
      <c r="I44" s="18" t="n">
        <v>180</v>
      </c>
      <c r="J44" s="18" t="n">
        <v>12</v>
      </c>
      <c r="K44" s="18" t="n">
        <v>23</v>
      </c>
      <c r="L44" s="25" t="n">
        <v>638.2</v>
      </c>
      <c r="M44" s="18" t="n">
        <v>11</v>
      </c>
      <c r="N44" s="26" t="n">
        <f aca="false">DATE(YEAR(E44),MONTH(E44),1)</f>
        <v>45992</v>
      </c>
      <c r="O44" s="17" t="str">
        <f aca="false">CHOOSE(WEEKDAY(E44,2),"Mon","Tue","Wed","Thu","Fri","Sat","Sun")</f>
        <v>Sat</v>
      </c>
      <c r="P44" s="21" t="n">
        <f aca="false">IFERROR(H44/G44,0)</f>
        <v>0.0467603849533111</v>
      </c>
      <c r="Q44" s="19" t="n">
        <f aca="false">IFERROR((I44+J44+K44)/H44,0)</f>
        <v>0.0469740004369674</v>
      </c>
      <c r="R44" s="27" t="n">
        <f aca="false">IFERROR(L44*60/H44,0)</f>
        <v>8.36617871968538</v>
      </c>
      <c r="S44" s="21" t="n">
        <f aca="false">IFERROR(R44/F44,0)</f>
        <v>0.325532245902155</v>
      </c>
      <c r="T44" s="20" t="n">
        <f aca="false">IFERROR(M44/H44,0)</f>
        <v>0.00240332095258903</v>
      </c>
      <c r="U44" s="17" t="str">
        <f aca="false">IF(F44&lt;1,"Under 1 min",IF(F44&lt;5,"1-5 min",IF(F44&lt;10,"5-10 min",IF(F44&lt;20,"10-20 min","20+ min"))))</f>
        <v>20+ min</v>
      </c>
      <c r="V44" s="17" t="str">
        <f aca="false">IF(WEEKDAY(E44,2)&gt;5,"Weekend","Weekday")</f>
        <v>Weekend</v>
      </c>
    </row>
    <row r="45" customFormat="false" ht="15" hidden="false" customHeight="false" outlineLevel="0" collapsed="false">
      <c r="A45" s="17" t="s">
        <v>203</v>
      </c>
      <c r="B45" s="17" t="s">
        <v>204</v>
      </c>
      <c r="C45" s="17" t="s">
        <v>128</v>
      </c>
      <c r="D45" s="17" t="s">
        <v>121</v>
      </c>
      <c r="E45" s="23" t="n">
        <v>46011</v>
      </c>
      <c r="F45" s="24" t="n">
        <v>0.22</v>
      </c>
      <c r="G45" s="18" t="n">
        <v>842744</v>
      </c>
      <c r="H45" s="18" t="n">
        <v>77080</v>
      </c>
      <c r="I45" s="18" t="n">
        <v>2318</v>
      </c>
      <c r="J45" s="18" t="n">
        <v>132</v>
      </c>
      <c r="K45" s="18" t="n">
        <v>404</v>
      </c>
      <c r="L45" s="25" t="n">
        <v>224.5</v>
      </c>
      <c r="M45" s="18" t="n">
        <v>156</v>
      </c>
      <c r="N45" s="26" t="n">
        <f aca="false">DATE(YEAR(E45),MONTH(E45),1)</f>
        <v>45992</v>
      </c>
      <c r="O45" s="17" t="str">
        <f aca="false">CHOOSE(WEEKDAY(E45,2),"Mon","Tue","Wed","Thu","Fri","Sat","Sun")</f>
        <v>Sat</v>
      </c>
      <c r="P45" s="21" t="n">
        <f aca="false">IFERROR(H45/G45,0)</f>
        <v>0.091463125219521</v>
      </c>
      <c r="Q45" s="19" t="n">
        <f aca="false">IFERROR((I45+J45+K45)/H45,0)</f>
        <v>0.0370264660093409</v>
      </c>
      <c r="R45" s="27" t="n">
        <f aca="false">IFERROR(L45*60/H45,0)</f>
        <v>0.174753502854177</v>
      </c>
      <c r="S45" s="21" t="n">
        <f aca="false">IFERROR(R45/F45,0)</f>
        <v>0.794334103882625</v>
      </c>
      <c r="T45" s="20" t="n">
        <f aca="false">IFERROR(M45/H45,0)</f>
        <v>0.00202387130254281</v>
      </c>
      <c r="U45" s="17" t="str">
        <f aca="false">IF(F45&lt;1,"Under 1 min",IF(F45&lt;5,"1-5 min",IF(F45&lt;10,"5-10 min",IF(F45&lt;20,"10-20 min","20+ min"))))</f>
        <v>Under 1 min</v>
      </c>
      <c r="V45" s="17" t="str">
        <f aca="false">IF(WEEKDAY(E45,2)&gt;5,"Weekend","Weekday")</f>
        <v>Weekend</v>
      </c>
    </row>
    <row r="46" customFormat="false" ht="15" hidden="false" customHeight="false" outlineLevel="0" collapsed="false">
      <c r="A46" s="17" t="s">
        <v>205</v>
      </c>
      <c r="B46" s="17" t="s">
        <v>206</v>
      </c>
      <c r="C46" s="17" t="s">
        <v>111</v>
      </c>
      <c r="D46" s="17" t="s">
        <v>112</v>
      </c>
      <c r="E46" s="23" t="n">
        <v>46012</v>
      </c>
      <c r="F46" s="24" t="n">
        <v>17.7</v>
      </c>
      <c r="G46" s="18" t="n">
        <v>877826</v>
      </c>
      <c r="H46" s="18" t="n">
        <v>39584</v>
      </c>
      <c r="I46" s="18" t="n">
        <v>1942</v>
      </c>
      <c r="J46" s="18" t="n">
        <v>123</v>
      </c>
      <c r="K46" s="18" t="n">
        <v>118</v>
      </c>
      <c r="L46" s="25" t="n">
        <v>4292.8</v>
      </c>
      <c r="M46" s="18" t="n">
        <v>171</v>
      </c>
      <c r="N46" s="26" t="n">
        <f aca="false">DATE(YEAR(E46),MONTH(E46),1)</f>
        <v>45992</v>
      </c>
      <c r="O46" s="17" t="str">
        <f aca="false">CHOOSE(WEEKDAY(E46,2),"Mon","Tue","Wed","Thu","Fri","Sat","Sun")</f>
        <v>Sun</v>
      </c>
      <c r="P46" s="21" t="n">
        <f aca="false">IFERROR(H46/G46,0)</f>
        <v>0.0450932189294917</v>
      </c>
      <c r="Q46" s="19" t="n">
        <f aca="false">IFERROR((I46+J46+K46)/H46,0)</f>
        <v>0.0551485448666128</v>
      </c>
      <c r="R46" s="27" t="n">
        <f aca="false">IFERROR(L46*60/H46,0)</f>
        <v>6.50687146321746</v>
      </c>
      <c r="S46" s="21" t="n">
        <f aca="false">IFERROR(R46/F46,0)</f>
        <v>0.367619856678953</v>
      </c>
      <c r="T46" s="20" t="n">
        <f aca="false">IFERROR(M46/H46,0)</f>
        <v>0.00431992724333064</v>
      </c>
      <c r="U46" s="17" t="str">
        <f aca="false">IF(F46&lt;1,"Under 1 min",IF(F46&lt;5,"1-5 min",IF(F46&lt;10,"5-10 min",IF(F46&lt;20,"10-20 min","20+ min"))))</f>
        <v>10-20 min</v>
      </c>
      <c r="V46" s="17" t="str">
        <f aca="false">IF(WEEKDAY(E46,2)&gt;5,"Weekend","Weekday")</f>
        <v>Weekend</v>
      </c>
    </row>
    <row r="47" customFormat="false" ht="15" hidden="false" customHeight="false" outlineLevel="0" collapsed="false">
      <c r="A47" s="17" t="s">
        <v>207</v>
      </c>
      <c r="B47" s="17" t="s">
        <v>208</v>
      </c>
      <c r="C47" s="17" t="s">
        <v>128</v>
      </c>
      <c r="D47" s="17" t="s">
        <v>121</v>
      </c>
      <c r="E47" s="23" t="n">
        <v>46014</v>
      </c>
      <c r="F47" s="24" t="n">
        <v>0.39</v>
      </c>
      <c r="G47" s="18" t="n">
        <v>836358</v>
      </c>
      <c r="H47" s="18" t="n">
        <v>78076</v>
      </c>
      <c r="I47" s="18" t="n">
        <v>2528</v>
      </c>
      <c r="J47" s="18" t="n">
        <v>129</v>
      </c>
      <c r="K47" s="18" t="n">
        <v>488</v>
      </c>
      <c r="L47" s="25" t="n">
        <v>389.2</v>
      </c>
      <c r="M47" s="18" t="n">
        <v>183</v>
      </c>
      <c r="N47" s="26" t="n">
        <f aca="false">DATE(YEAR(E47),MONTH(E47),1)</f>
        <v>45992</v>
      </c>
      <c r="O47" s="17" t="str">
        <f aca="false">CHOOSE(WEEKDAY(E47,2),"Mon","Tue","Wed","Thu","Fri","Sat","Sun")</f>
        <v>Tue</v>
      </c>
      <c r="P47" s="21" t="n">
        <f aca="false">IFERROR(H47/G47,0)</f>
        <v>0.0933523682442208</v>
      </c>
      <c r="Q47" s="19" t="n">
        <f aca="false">IFERROR((I47+J47+K47)/H47,0)</f>
        <v>0.0402812644090374</v>
      </c>
      <c r="R47" s="27" t="n">
        <f aca="false">IFERROR(L47*60/H47,0)</f>
        <v>0.299093191249552</v>
      </c>
      <c r="S47" s="21" t="n">
        <f aca="false">IFERROR(R47/F47,0)</f>
        <v>0.766905618588594</v>
      </c>
      <c r="T47" s="20" t="n">
        <f aca="false">IFERROR(M47/H47,0)</f>
        <v>0.00234387007531124</v>
      </c>
      <c r="U47" s="17" t="str">
        <f aca="false">IF(F47&lt;1,"Under 1 min",IF(F47&lt;5,"1-5 min",IF(F47&lt;10,"5-10 min",IF(F47&lt;20,"10-20 min","20+ min"))))</f>
        <v>Under 1 min</v>
      </c>
      <c r="V47" s="17" t="str">
        <f aca="false">IF(WEEKDAY(E47,2)&gt;5,"Weekend","Weekday")</f>
        <v>Weekday</v>
      </c>
    </row>
    <row r="48" customFormat="false" ht="15" hidden="false" customHeight="false" outlineLevel="0" collapsed="false">
      <c r="A48" s="17" t="s">
        <v>209</v>
      </c>
      <c r="B48" s="17" t="s">
        <v>210</v>
      </c>
      <c r="C48" s="17" t="s">
        <v>118</v>
      </c>
      <c r="D48" s="17" t="s">
        <v>121</v>
      </c>
      <c r="E48" s="23" t="n">
        <v>46015</v>
      </c>
      <c r="F48" s="24" t="n">
        <v>0.77</v>
      </c>
      <c r="G48" s="18" t="n">
        <v>1028040</v>
      </c>
      <c r="H48" s="18" t="n">
        <v>82676</v>
      </c>
      <c r="I48" s="18" t="n">
        <v>2426</v>
      </c>
      <c r="J48" s="18" t="n">
        <v>219</v>
      </c>
      <c r="K48" s="18" t="n">
        <v>667</v>
      </c>
      <c r="L48" s="25" t="n">
        <v>917.6</v>
      </c>
      <c r="M48" s="18" t="n">
        <v>117</v>
      </c>
      <c r="N48" s="26" t="n">
        <f aca="false">DATE(YEAR(E48),MONTH(E48),1)</f>
        <v>45992</v>
      </c>
      <c r="O48" s="17" t="str">
        <f aca="false">CHOOSE(WEEKDAY(E48,2),"Mon","Tue","Wed","Thu","Fri","Sat","Sun")</f>
        <v>Wed</v>
      </c>
      <c r="P48" s="21" t="n">
        <f aca="false">IFERROR(H48/G48,0)</f>
        <v>0.080420995292012</v>
      </c>
      <c r="Q48" s="19" t="n">
        <f aca="false">IFERROR((I48+J48+K48)/H48,0)</f>
        <v>0.0400599932265712</v>
      </c>
      <c r="R48" s="27" t="n">
        <f aca="false">IFERROR(L48*60/H48,0)</f>
        <v>0.665924814940249</v>
      </c>
      <c r="S48" s="21" t="n">
        <f aca="false">IFERROR(R48/F48,0)</f>
        <v>0.864837422000323</v>
      </c>
      <c r="T48" s="20" t="n">
        <f aca="false">IFERROR(M48/H48,0)</f>
        <v>0.00141516280419953</v>
      </c>
      <c r="U48" s="17" t="str">
        <f aca="false">IF(F48&lt;1,"Under 1 min",IF(F48&lt;5,"1-5 min",IF(F48&lt;10,"5-10 min",IF(F48&lt;20,"10-20 min","20+ min"))))</f>
        <v>Under 1 min</v>
      </c>
      <c r="V48" s="17" t="str">
        <f aca="false">IF(WEEKDAY(E48,2)&gt;5,"Weekend","Weekday")</f>
        <v>Weekday</v>
      </c>
    </row>
    <row r="49" customFormat="false" ht="15" hidden="false" customHeight="false" outlineLevel="0" collapsed="false">
      <c r="A49" s="17" t="s">
        <v>211</v>
      </c>
      <c r="B49" s="17" t="s">
        <v>212</v>
      </c>
      <c r="C49" s="17" t="s">
        <v>111</v>
      </c>
      <c r="D49" s="17" t="s">
        <v>112</v>
      </c>
      <c r="E49" s="23" t="n">
        <v>46016</v>
      </c>
      <c r="F49" s="24" t="n">
        <v>5.9</v>
      </c>
      <c r="G49" s="18" t="n">
        <v>844572</v>
      </c>
      <c r="H49" s="18" t="n">
        <v>43533</v>
      </c>
      <c r="I49" s="18" t="n">
        <v>2165</v>
      </c>
      <c r="J49" s="18" t="n">
        <v>173</v>
      </c>
      <c r="K49" s="18" t="n">
        <v>253</v>
      </c>
      <c r="L49" s="25" t="n">
        <v>2471.6</v>
      </c>
      <c r="M49" s="18" t="n">
        <v>243</v>
      </c>
      <c r="N49" s="26" t="n">
        <f aca="false">DATE(YEAR(E49),MONTH(E49),1)</f>
        <v>45992</v>
      </c>
      <c r="O49" s="17" t="str">
        <f aca="false">CHOOSE(WEEKDAY(E49,2),"Mon","Tue","Wed","Thu","Fri","Sat","Sun")</f>
        <v>Thu</v>
      </c>
      <c r="P49" s="21" t="n">
        <f aca="false">IFERROR(H49/G49,0)</f>
        <v>0.0515444509171509</v>
      </c>
      <c r="Q49" s="19" t="n">
        <f aca="false">IFERROR((I49+J49+K49)/H49,0)</f>
        <v>0.0595180667539568</v>
      </c>
      <c r="R49" s="27" t="n">
        <f aca="false">IFERROR(L49*60/H49,0)</f>
        <v>3.40651919233685</v>
      </c>
      <c r="S49" s="21" t="n">
        <f aca="false">IFERROR(R49/F49,0)</f>
        <v>0.577376134294381</v>
      </c>
      <c r="T49" s="20" t="n">
        <f aca="false">IFERROR(M49/H49,0)</f>
        <v>0.00558197229687823</v>
      </c>
      <c r="U49" s="17" t="str">
        <f aca="false">IF(F49&lt;1,"Under 1 min",IF(F49&lt;5,"1-5 min",IF(F49&lt;10,"5-10 min",IF(F49&lt;20,"10-20 min","20+ min"))))</f>
        <v>5-10 min</v>
      </c>
      <c r="V49" s="17" t="str">
        <f aca="false">IF(WEEKDAY(E49,2)&gt;5,"Weekend","Weekday")</f>
        <v>Weekday</v>
      </c>
    </row>
    <row r="50" customFormat="false" ht="15" hidden="false" customHeight="false" outlineLevel="0" collapsed="false">
      <c r="A50" s="17" t="s">
        <v>213</v>
      </c>
      <c r="B50" s="17" t="s">
        <v>214</v>
      </c>
      <c r="C50" s="17" t="s">
        <v>115</v>
      </c>
      <c r="D50" s="17" t="s">
        <v>112</v>
      </c>
      <c r="E50" s="23" t="n">
        <v>46030</v>
      </c>
      <c r="F50" s="24" t="n">
        <v>12.7</v>
      </c>
      <c r="G50" s="18" t="n">
        <v>864359</v>
      </c>
      <c r="H50" s="18" t="n">
        <v>36029</v>
      </c>
      <c r="I50" s="18" t="n">
        <v>1502</v>
      </c>
      <c r="J50" s="18" t="n">
        <v>141</v>
      </c>
      <c r="K50" s="18" t="n">
        <v>163</v>
      </c>
      <c r="L50" s="25" t="n">
        <v>3550.2</v>
      </c>
      <c r="M50" s="18" t="n">
        <v>228</v>
      </c>
      <c r="N50" s="26" t="n">
        <f aca="false">DATE(YEAR(E50),MONTH(E50),1)</f>
        <v>46023</v>
      </c>
      <c r="O50" s="17" t="str">
        <f aca="false">CHOOSE(WEEKDAY(E50,2),"Mon","Tue","Wed","Thu","Fri","Sat","Sun")</f>
        <v>Thu</v>
      </c>
      <c r="P50" s="21" t="n">
        <f aca="false">IFERROR(H50/G50,0)</f>
        <v>0.0416829118456567</v>
      </c>
      <c r="Q50" s="19" t="n">
        <f aca="false">IFERROR((I50+J50+K50)/H50,0)</f>
        <v>0.0501262871575675</v>
      </c>
      <c r="R50" s="27" t="n">
        <f aca="false">IFERROR(L50*60/H50,0)</f>
        <v>5.91223736434539</v>
      </c>
      <c r="S50" s="21" t="n">
        <f aca="false">IFERROR(R50/F50,0)</f>
        <v>0.465530501129558</v>
      </c>
      <c r="T50" s="20" t="n">
        <f aca="false">IFERROR(M50/H50,0)</f>
        <v>0.00632823558799856</v>
      </c>
      <c r="U50" s="17" t="str">
        <f aca="false">IF(F50&lt;1,"Under 1 min",IF(F50&lt;5,"1-5 min",IF(F50&lt;10,"5-10 min",IF(F50&lt;20,"10-20 min","20+ min"))))</f>
        <v>10-20 min</v>
      </c>
      <c r="V50" s="17" t="str">
        <f aca="false">IF(WEEKDAY(E50,2)&gt;5,"Weekend","Weekday")</f>
        <v>Weekday</v>
      </c>
    </row>
    <row r="51" customFormat="false" ht="15" hidden="false" customHeight="false" outlineLevel="0" collapsed="false">
      <c r="A51" s="17" t="s">
        <v>215</v>
      </c>
      <c r="B51" s="17" t="s">
        <v>216</v>
      </c>
      <c r="C51" s="17" t="s">
        <v>115</v>
      </c>
      <c r="D51" s="17" t="s">
        <v>112</v>
      </c>
      <c r="E51" s="23" t="n">
        <v>46031</v>
      </c>
      <c r="F51" s="24" t="n">
        <v>5.1</v>
      </c>
      <c r="G51" s="18" t="n">
        <v>530660</v>
      </c>
      <c r="H51" s="18" t="n">
        <v>20463</v>
      </c>
      <c r="I51" s="18" t="n">
        <v>894</v>
      </c>
      <c r="J51" s="18" t="n">
        <v>89</v>
      </c>
      <c r="K51" s="18" t="n">
        <v>47</v>
      </c>
      <c r="L51" s="25" t="n">
        <v>1051</v>
      </c>
      <c r="M51" s="18" t="n">
        <v>84</v>
      </c>
      <c r="N51" s="26" t="n">
        <f aca="false">DATE(YEAR(E51),MONTH(E51),1)</f>
        <v>46023</v>
      </c>
      <c r="O51" s="17" t="str">
        <f aca="false">CHOOSE(WEEKDAY(E51,2),"Mon","Tue","Wed","Thu","Fri","Sat","Sun")</f>
        <v>Fri</v>
      </c>
      <c r="P51" s="21" t="n">
        <f aca="false">IFERROR(H51/G51,0)</f>
        <v>0.0385614140881167</v>
      </c>
      <c r="Q51" s="19" t="n">
        <f aca="false">IFERROR((I51+J51+K51)/H51,0)</f>
        <v>0.0503347505253384</v>
      </c>
      <c r="R51" s="27" t="n">
        <f aca="false">IFERROR(L51*60/H51,0)</f>
        <v>3.08165958070664</v>
      </c>
      <c r="S51" s="21" t="n">
        <f aca="false">IFERROR(R51/F51,0)</f>
        <v>0.604246976609145</v>
      </c>
      <c r="T51" s="20" t="n">
        <f aca="false">IFERROR(M51/H51,0)</f>
        <v>0.00410496994575575</v>
      </c>
      <c r="U51" s="17" t="str">
        <f aca="false">IF(F51&lt;1,"Under 1 min",IF(F51&lt;5,"1-5 min",IF(F51&lt;10,"5-10 min",IF(F51&lt;20,"10-20 min","20+ min"))))</f>
        <v>5-10 min</v>
      </c>
      <c r="V51" s="17" t="str">
        <f aca="false">IF(WEEKDAY(E51,2)&gt;5,"Weekend","Weekday")</f>
        <v>Weekday</v>
      </c>
    </row>
    <row r="52" customFormat="false" ht="15" hidden="false" customHeight="false" outlineLevel="0" collapsed="false">
      <c r="A52" s="17" t="s">
        <v>217</v>
      </c>
      <c r="B52" s="17" t="s">
        <v>218</v>
      </c>
      <c r="C52" s="17" t="s">
        <v>111</v>
      </c>
      <c r="D52" s="17" t="s">
        <v>121</v>
      </c>
      <c r="E52" s="23" t="n">
        <v>46032</v>
      </c>
      <c r="F52" s="24" t="n">
        <v>0.92</v>
      </c>
      <c r="G52" s="18" t="n">
        <v>2866596</v>
      </c>
      <c r="H52" s="18" t="n">
        <v>237418</v>
      </c>
      <c r="I52" s="18" t="n">
        <v>9954</v>
      </c>
      <c r="J52" s="18" t="n">
        <v>586</v>
      </c>
      <c r="K52" s="18" t="n">
        <v>1625</v>
      </c>
      <c r="L52" s="25" t="n">
        <v>3130.6</v>
      </c>
      <c r="M52" s="18" t="n">
        <v>457</v>
      </c>
      <c r="N52" s="26" t="n">
        <f aca="false">DATE(YEAR(E52),MONTH(E52),1)</f>
        <v>46023</v>
      </c>
      <c r="O52" s="17" t="str">
        <f aca="false">CHOOSE(WEEKDAY(E52,2),"Mon","Tue","Wed","Thu","Fri","Sat","Sun")</f>
        <v>Sat</v>
      </c>
      <c r="P52" s="21" t="n">
        <f aca="false">IFERROR(H52/G52,0)</f>
        <v>0.0828222742235041</v>
      </c>
      <c r="Q52" s="19" t="n">
        <f aca="false">IFERROR((I52+J52+K52)/H52,0)</f>
        <v>0.0512387434819601</v>
      </c>
      <c r="R52" s="27" t="n">
        <f aca="false">IFERROR(L52*60/H52,0)</f>
        <v>0.791161579998147</v>
      </c>
      <c r="S52" s="21" t="n">
        <f aca="false">IFERROR(R52/F52,0)</f>
        <v>0.85995823912842</v>
      </c>
      <c r="T52" s="20" t="n">
        <f aca="false">IFERROR(M52/H52,0)</f>
        <v>0.00192487511477647</v>
      </c>
      <c r="U52" s="17" t="str">
        <f aca="false">IF(F52&lt;1,"Under 1 min",IF(F52&lt;5,"1-5 min",IF(F52&lt;10,"5-10 min",IF(F52&lt;20,"10-20 min","20+ min"))))</f>
        <v>Under 1 min</v>
      </c>
      <c r="V52" s="17" t="str">
        <f aca="false">IF(WEEKDAY(E52,2)&gt;5,"Weekend","Weekday")</f>
        <v>Weekend</v>
      </c>
    </row>
    <row r="53" customFormat="false" ht="15" hidden="false" customHeight="false" outlineLevel="0" collapsed="false">
      <c r="A53" s="17" t="s">
        <v>219</v>
      </c>
      <c r="B53" s="17" t="s">
        <v>220</v>
      </c>
      <c r="C53" s="17" t="s">
        <v>118</v>
      </c>
      <c r="D53" s="17" t="s">
        <v>112</v>
      </c>
      <c r="E53" s="23" t="n">
        <v>46038</v>
      </c>
      <c r="F53" s="24" t="n">
        <v>8.8</v>
      </c>
      <c r="G53" s="18" t="n">
        <v>998794</v>
      </c>
      <c r="H53" s="18" t="n">
        <v>66130</v>
      </c>
      <c r="I53" s="18" t="n">
        <v>3211</v>
      </c>
      <c r="J53" s="18" t="n">
        <v>244</v>
      </c>
      <c r="K53" s="18" t="n">
        <v>295</v>
      </c>
      <c r="L53" s="25" t="n">
        <v>4525.9</v>
      </c>
      <c r="M53" s="18" t="n">
        <v>294</v>
      </c>
      <c r="N53" s="26" t="n">
        <f aca="false">DATE(YEAR(E53),MONTH(E53),1)</f>
        <v>46023</v>
      </c>
      <c r="O53" s="17" t="str">
        <f aca="false">CHOOSE(WEEKDAY(E53,2),"Mon","Tue","Wed","Thu","Fri","Sat","Sun")</f>
        <v>Fri</v>
      </c>
      <c r="P53" s="21" t="n">
        <f aca="false">IFERROR(H53/G53,0)</f>
        <v>0.0662098490779881</v>
      </c>
      <c r="Q53" s="19" t="n">
        <f aca="false">IFERROR((I53+J53+K53)/H53,0)</f>
        <v>0.0567064872221382</v>
      </c>
      <c r="R53" s="27" t="n">
        <f aca="false">IFERROR(L53*60/H53,0)</f>
        <v>4.10636624829881</v>
      </c>
      <c r="S53" s="21" t="n">
        <f aca="false">IFERROR(R53/F53,0)</f>
        <v>0.466632528215773</v>
      </c>
      <c r="T53" s="20" t="n">
        <f aca="false">IFERROR(M53/H53,0)</f>
        <v>0.00444578859821564</v>
      </c>
      <c r="U53" s="17" t="str">
        <f aca="false">IF(F53&lt;1,"Under 1 min",IF(F53&lt;5,"1-5 min",IF(F53&lt;10,"5-10 min",IF(F53&lt;20,"10-20 min","20+ min"))))</f>
        <v>5-10 min</v>
      </c>
      <c r="V53" s="17" t="str">
        <f aca="false">IF(WEEKDAY(E53,2)&gt;5,"Weekend","Weekday")</f>
        <v>Weekday</v>
      </c>
    </row>
    <row r="54" customFormat="false" ht="15" hidden="false" customHeight="false" outlineLevel="0" collapsed="false">
      <c r="A54" s="17" t="s">
        <v>221</v>
      </c>
      <c r="B54" s="17" t="s">
        <v>222</v>
      </c>
      <c r="C54" s="17" t="s">
        <v>128</v>
      </c>
      <c r="D54" s="17" t="s">
        <v>112</v>
      </c>
      <c r="E54" s="23" t="n">
        <v>46039</v>
      </c>
      <c r="F54" s="24" t="n">
        <v>19.4</v>
      </c>
      <c r="G54" s="18" t="n">
        <v>352140</v>
      </c>
      <c r="H54" s="18" t="n">
        <v>19283</v>
      </c>
      <c r="I54" s="18" t="n">
        <v>630</v>
      </c>
      <c r="J54" s="18" t="n">
        <v>46</v>
      </c>
      <c r="K54" s="18" t="n">
        <v>74</v>
      </c>
      <c r="L54" s="25" t="n">
        <v>2252.9</v>
      </c>
      <c r="M54" s="18" t="n">
        <v>104</v>
      </c>
      <c r="N54" s="26" t="n">
        <f aca="false">DATE(YEAR(E54),MONTH(E54),1)</f>
        <v>46023</v>
      </c>
      <c r="O54" s="17" t="str">
        <f aca="false">CHOOSE(WEEKDAY(E54,2),"Mon","Tue","Wed","Thu","Fri","Sat","Sun")</f>
        <v>Sat</v>
      </c>
      <c r="P54" s="21" t="n">
        <f aca="false">IFERROR(H54/G54,0)</f>
        <v>0.0547594706650764</v>
      </c>
      <c r="Q54" s="19" t="n">
        <f aca="false">IFERROR((I54+J54+K54)/H54,0)</f>
        <v>0.0388943629103355</v>
      </c>
      <c r="R54" s="27" t="n">
        <f aca="false">IFERROR(L54*60/H54,0)</f>
        <v>7.01000881605559</v>
      </c>
      <c r="S54" s="21" t="n">
        <f aca="false">IFERROR(R54/F54,0)</f>
        <v>0.361340660621422</v>
      </c>
      <c r="T54" s="20" t="n">
        <f aca="false">IFERROR(M54/H54,0)</f>
        <v>0.00539335165689986</v>
      </c>
      <c r="U54" s="17" t="str">
        <f aca="false">IF(F54&lt;1,"Under 1 min",IF(F54&lt;5,"1-5 min",IF(F54&lt;10,"5-10 min",IF(F54&lt;20,"10-20 min","20+ min"))))</f>
        <v>10-20 min</v>
      </c>
      <c r="V54" s="17" t="str">
        <f aca="false">IF(WEEKDAY(E54,2)&gt;5,"Weekend","Weekday")</f>
        <v>Weekend</v>
      </c>
    </row>
    <row r="55" customFormat="false" ht="15" hidden="false" customHeight="false" outlineLevel="0" collapsed="false">
      <c r="A55" s="17" t="s">
        <v>223</v>
      </c>
      <c r="B55" s="17" t="s">
        <v>224</v>
      </c>
      <c r="C55" s="17" t="s">
        <v>115</v>
      </c>
      <c r="D55" s="17" t="s">
        <v>121</v>
      </c>
      <c r="E55" s="23" t="n">
        <v>46039</v>
      </c>
      <c r="F55" s="24" t="n">
        <v>0.26</v>
      </c>
      <c r="G55" s="18" t="n">
        <v>818221</v>
      </c>
      <c r="H55" s="18" t="n">
        <v>68495</v>
      </c>
      <c r="I55" s="18" t="n">
        <v>2188</v>
      </c>
      <c r="J55" s="18" t="n">
        <v>129</v>
      </c>
      <c r="K55" s="18" t="n">
        <v>528</v>
      </c>
      <c r="L55" s="25" t="n">
        <v>238.9</v>
      </c>
      <c r="M55" s="18" t="n">
        <v>76</v>
      </c>
      <c r="N55" s="26" t="n">
        <f aca="false">DATE(YEAR(E55),MONTH(E55),1)</f>
        <v>46023</v>
      </c>
      <c r="O55" s="17" t="str">
        <f aca="false">CHOOSE(WEEKDAY(E55,2),"Mon","Tue","Wed","Thu","Fri","Sat","Sun")</f>
        <v>Sat</v>
      </c>
      <c r="P55" s="21" t="n">
        <f aca="false">IFERROR(H55/G55,0)</f>
        <v>0.0837121022315487</v>
      </c>
      <c r="Q55" s="19" t="n">
        <f aca="false">IFERROR((I55+J55+K55)/H55,0)</f>
        <v>0.0415358785312797</v>
      </c>
      <c r="R55" s="27" t="n">
        <f aca="false">IFERROR(L55*60/H55,0)</f>
        <v>0.209270749689758</v>
      </c>
      <c r="S55" s="21" t="n">
        <f aca="false">IFERROR(R55/F55,0)</f>
        <v>0.804887498806763</v>
      </c>
      <c r="T55" s="20" t="n">
        <f aca="false">IFERROR(M55/H55,0)</f>
        <v>0.00110957004160888</v>
      </c>
      <c r="U55" s="17" t="str">
        <f aca="false">IF(F55&lt;1,"Under 1 min",IF(F55&lt;5,"1-5 min",IF(F55&lt;10,"5-10 min",IF(F55&lt;20,"10-20 min","20+ min"))))</f>
        <v>Under 1 min</v>
      </c>
      <c r="V55" s="17" t="str">
        <f aca="false">IF(WEEKDAY(E55,2)&gt;5,"Weekend","Weekday")</f>
        <v>Weekend</v>
      </c>
    </row>
    <row r="56" customFormat="false" ht="15" hidden="false" customHeight="false" outlineLevel="0" collapsed="false">
      <c r="A56" s="17" t="s">
        <v>225</v>
      </c>
      <c r="B56" s="17" t="s">
        <v>226</v>
      </c>
      <c r="C56" s="17" t="s">
        <v>115</v>
      </c>
      <c r="D56" s="17" t="s">
        <v>112</v>
      </c>
      <c r="E56" s="23" t="n">
        <v>46040</v>
      </c>
      <c r="F56" s="24" t="n">
        <v>15.1</v>
      </c>
      <c r="G56" s="18" t="n">
        <v>738470</v>
      </c>
      <c r="H56" s="18" t="n">
        <v>60758</v>
      </c>
      <c r="I56" s="18" t="n">
        <v>2398</v>
      </c>
      <c r="J56" s="18" t="n">
        <v>215</v>
      </c>
      <c r="K56" s="18" t="n">
        <v>258</v>
      </c>
      <c r="L56" s="25" t="n">
        <v>7757.6</v>
      </c>
      <c r="M56" s="18" t="n">
        <v>334</v>
      </c>
      <c r="N56" s="26" t="n">
        <f aca="false">DATE(YEAR(E56),MONTH(E56),1)</f>
        <v>46023</v>
      </c>
      <c r="O56" s="17" t="str">
        <f aca="false">CHOOSE(WEEKDAY(E56,2),"Mon","Tue","Wed","Thu","Fri","Sat","Sun")</f>
        <v>Sun</v>
      </c>
      <c r="P56" s="21" t="n">
        <f aca="false">IFERROR(H56/G56,0)</f>
        <v>0.0822755155930505</v>
      </c>
      <c r="Q56" s="19" t="n">
        <f aca="false">IFERROR((I56+J56+K56)/H56,0)</f>
        <v>0.0472530366371507</v>
      </c>
      <c r="R56" s="27" t="n">
        <f aca="false">IFERROR(L56*60/H56,0)</f>
        <v>7.66081832845057</v>
      </c>
      <c r="S56" s="21" t="n">
        <f aca="false">IFERROR(R56/F56,0)</f>
        <v>0.507338962149045</v>
      </c>
      <c r="T56" s="20" t="n">
        <f aca="false">IFERROR(M56/H56,0)</f>
        <v>0.00549721847328747</v>
      </c>
      <c r="U56" s="17" t="str">
        <f aca="false">IF(F56&lt;1,"Under 1 min",IF(F56&lt;5,"1-5 min",IF(F56&lt;10,"5-10 min",IF(F56&lt;20,"10-20 min","20+ min"))))</f>
        <v>10-20 min</v>
      </c>
      <c r="V56" s="17" t="str">
        <f aca="false">IF(WEEKDAY(E56,2)&gt;5,"Weekend","Weekday")</f>
        <v>Weekend</v>
      </c>
    </row>
    <row r="57" customFormat="false" ht="15" hidden="false" customHeight="false" outlineLevel="0" collapsed="false">
      <c r="A57" s="17" t="s">
        <v>227</v>
      </c>
      <c r="B57" s="17" t="s">
        <v>228</v>
      </c>
      <c r="C57" s="17" t="s">
        <v>202</v>
      </c>
      <c r="D57" s="17" t="s">
        <v>112</v>
      </c>
      <c r="E57" s="23" t="n">
        <v>46043</v>
      </c>
      <c r="F57" s="24" t="n">
        <v>20.7</v>
      </c>
      <c r="G57" s="18" t="n">
        <v>105399</v>
      </c>
      <c r="H57" s="18" t="n">
        <v>5690</v>
      </c>
      <c r="I57" s="18" t="n">
        <v>178</v>
      </c>
      <c r="J57" s="18" t="n">
        <v>23</v>
      </c>
      <c r="K57" s="18" t="n">
        <v>18</v>
      </c>
      <c r="L57" s="25" t="n">
        <v>723.1</v>
      </c>
      <c r="M57" s="18" t="n">
        <v>11</v>
      </c>
      <c r="N57" s="26" t="n">
        <f aca="false">DATE(YEAR(E57),MONTH(E57),1)</f>
        <v>46023</v>
      </c>
      <c r="O57" s="17" t="str">
        <f aca="false">CHOOSE(WEEKDAY(E57,2),"Mon","Tue","Wed","Thu","Fri","Sat","Sun")</f>
        <v>Wed</v>
      </c>
      <c r="P57" s="21" t="n">
        <f aca="false">IFERROR(H57/G57,0)</f>
        <v>0.0539853319291454</v>
      </c>
      <c r="Q57" s="19" t="n">
        <f aca="false">IFERROR((I57+J57+K57)/H57,0)</f>
        <v>0.0384885764499121</v>
      </c>
      <c r="R57" s="27" t="n">
        <f aca="false">IFERROR(L57*60/H57,0)</f>
        <v>7.62495606326889</v>
      </c>
      <c r="S57" s="21" t="n">
        <f aca="false">IFERROR(R57/F57,0)</f>
        <v>0.368355365375309</v>
      </c>
      <c r="T57" s="20" t="n">
        <f aca="false">IFERROR(M57/H57,0)</f>
        <v>0.00193321616871705</v>
      </c>
      <c r="U57" s="17" t="str">
        <f aca="false">IF(F57&lt;1,"Under 1 min",IF(F57&lt;5,"1-5 min",IF(F57&lt;10,"5-10 min",IF(F57&lt;20,"10-20 min","20+ min"))))</f>
        <v>20+ min</v>
      </c>
      <c r="V57" s="17" t="str">
        <f aca="false">IF(WEEKDAY(E57,2)&gt;5,"Weekend","Weekday")</f>
        <v>Weekday</v>
      </c>
    </row>
    <row r="58" customFormat="false" ht="15" hidden="false" customHeight="false" outlineLevel="0" collapsed="false">
      <c r="A58" s="17" t="s">
        <v>229</v>
      </c>
      <c r="B58" s="17" t="s">
        <v>230</v>
      </c>
      <c r="C58" s="17" t="s">
        <v>111</v>
      </c>
      <c r="D58" s="17" t="s">
        <v>112</v>
      </c>
      <c r="E58" s="23" t="n">
        <v>46043</v>
      </c>
      <c r="F58" s="24" t="n">
        <v>9.7</v>
      </c>
      <c r="G58" s="18" t="n">
        <v>1554378</v>
      </c>
      <c r="H58" s="18" t="n">
        <v>112573</v>
      </c>
      <c r="I58" s="18" t="n">
        <v>5933</v>
      </c>
      <c r="J58" s="18" t="n">
        <v>380</v>
      </c>
      <c r="K58" s="18" t="n">
        <v>366</v>
      </c>
      <c r="L58" s="25" t="n">
        <v>9298.6</v>
      </c>
      <c r="M58" s="18" t="n">
        <v>609</v>
      </c>
      <c r="N58" s="26" t="n">
        <f aca="false">DATE(YEAR(E58),MONTH(E58),1)</f>
        <v>46023</v>
      </c>
      <c r="O58" s="17" t="str">
        <f aca="false">CHOOSE(WEEKDAY(E58,2),"Mon","Tue","Wed","Thu","Fri","Sat","Sun")</f>
        <v>Wed</v>
      </c>
      <c r="P58" s="21" t="n">
        <f aca="false">IFERROR(H58/G58,0)</f>
        <v>0.072423181491246</v>
      </c>
      <c r="Q58" s="19" t="n">
        <f aca="false">IFERROR((I58+J58+K58)/H58,0)</f>
        <v>0.0593303900580068</v>
      </c>
      <c r="R58" s="27" t="n">
        <f aca="false">IFERROR(L58*60/H58,0)</f>
        <v>4.95603741572135</v>
      </c>
      <c r="S58" s="21" t="n">
        <f aca="false">IFERROR(R58/F58,0)</f>
        <v>0.510931692342408</v>
      </c>
      <c r="T58" s="20" t="n">
        <f aca="false">IFERROR(M58/H58,0)</f>
        <v>0.00540982295932417</v>
      </c>
      <c r="U58" s="17" t="str">
        <f aca="false">IF(F58&lt;1,"Under 1 min",IF(F58&lt;5,"1-5 min",IF(F58&lt;10,"5-10 min",IF(F58&lt;20,"10-20 min","20+ min"))))</f>
        <v>5-10 min</v>
      </c>
      <c r="V58" s="17" t="str">
        <f aca="false">IF(WEEKDAY(E58,2)&gt;5,"Weekend","Weekday")</f>
        <v>Weekday</v>
      </c>
    </row>
    <row r="59" customFormat="false" ht="15" hidden="false" customHeight="false" outlineLevel="0" collapsed="false">
      <c r="A59" s="17" t="s">
        <v>231</v>
      </c>
      <c r="B59" s="17" t="s">
        <v>232</v>
      </c>
      <c r="C59" s="17" t="s">
        <v>115</v>
      </c>
      <c r="D59" s="17" t="s">
        <v>112</v>
      </c>
      <c r="E59" s="23" t="n">
        <v>46044</v>
      </c>
      <c r="F59" s="24" t="n">
        <v>14</v>
      </c>
      <c r="G59" s="18" t="n">
        <v>1473609</v>
      </c>
      <c r="H59" s="18" t="n">
        <v>71785</v>
      </c>
      <c r="I59" s="18" t="n">
        <v>1871</v>
      </c>
      <c r="J59" s="18" t="n">
        <v>238</v>
      </c>
      <c r="K59" s="18" t="n">
        <v>436</v>
      </c>
      <c r="L59" s="25" t="n">
        <v>5628.5</v>
      </c>
      <c r="M59" s="18" t="n">
        <v>304</v>
      </c>
      <c r="N59" s="26" t="n">
        <f aca="false">DATE(YEAR(E59),MONTH(E59),1)</f>
        <v>46023</v>
      </c>
      <c r="O59" s="17" t="str">
        <f aca="false">CHOOSE(WEEKDAY(E59,2),"Mon","Tue","Wed","Thu","Fri","Sat","Sun")</f>
        <v>Thu</v>
      </c>
      <c r="P59" s="21" t="n">
        <f aca="false">IFERROR(H59/G59,0)</f>
        <v>0.0487137361403194</v>
      </c>
      <c r="Q59" s="19" t="n">
        <f aca="false">IFERROR((I59+J59+K59)/H59,0)</f>
        <v>0.0354530890854635</v>
      </c>
      <c r="R59" s="27" t="n">
        <f aca="false">IFERROR(L59*60/H59,0)</f>
        <v>4.704464721042</v>
      </c>
      <c r="S59" s="21" t="n">
        <f aca="false">IFERROR(R59/F59,0)</f>
        <v>0.336033194360143</v>
      </c>
      <c r="T59" s="20" t="n">
        <f aca="false">IFERROR(M59/H59,0)</f>
        <v>0.0042348680086369</v>
      </c>
      <c r="U59" s="17" t="str">
        <f aca="false">IF(F59&lt;1,"Under 1 min",IF(F59&lt;5,"1-5 min",IF(F59&lt;10,"5-10 min",IF(F59&lt;20,"10-20 min","20+ min"))))</f>
        <v>10-20 min</v>
      </c>
      <c r="V59" s="17" t="str">
        <f aca="false">IF(WEEKDAY(E59,2)&gt;5,"Weekend","Weekday")</f>
        <v>Weekday</v>
      </c>
    </row>
    <row r="60" customFormat="false" ht="15" hidden="false" customHeight="false" outlineLevel="0" collapsed="false">
      <c r="A60" s="17" t="s">
        <v>233</v>
      </c>
      <c r="B60" s="17" t="s">
        <v>234</v>
      </c>
      <c r="C60" s="17" t="s">
        <v>128</v>
      </c>
      <c r="D60" s="17" t="s">
        <v>121</v>
      </c>
      <c r="E60" s="23" t="n">
        <v>46050</v>
      </c>
      <c r="F60" s="24" t="n">
        <v>0.59</v>
      </c>
      <c r="G60" s="18" t="n">
        <v>397070</v>
      </c>
      <c r="H60" s="18" t="n">
        <v>25243</v>
      </c>
      <c r="I60" s="18" t="n">
        <v>712</v>
      </c>
      <c r="J60" s="18" t="n">
        <v>7</v>
      </c>
      <c r="K60" s="18" t="n">
        <v>196</v>
      </c>
      <c r="L60" s="25" t="n">
        <v>204.4</v>
      </c>
      <c r="M60" s="18" t="n">
        <v>41</v>
      </c>
      <c r="N60" s="26" t="n">
        <f aca="false">DATE(YEAR(E60),MONTH(E60),1)</f>
        <v>46023</v>
      </c>
      <c r="O60" s="17" t="str">
        <f aca="false">CHOOSE(WEEKDAY(E60,2),"Mon","Tue","Wed","Thu","Fri","Sat","Sun")</f>
        <v>Wed</v>
      </c>
      <c r="P60" s="21" t="n">
        <f aca="false">IFERROR(H60/G60,0)</f>
        <v>0.0635731734958572</v>
      </c>
      <c r="Q60" s="19" t="n">
        <f aca="false">IFERROR((I60+J60+K60)/H60,0)</f>
        <v>0.0362476726221131</v>
      </c>
      <c r="R60" s="27" t="n">
        <f aca="false">IFERROR(L60*60/H60,0)</f>
        <v>0.485837657964584</v>
      </c>
      <c r="S60" s="21" t="n">
        <f aca="false">IFERROR(R60/F60,0)</f>
        <v>0.823453657567092</v>
      </c>
      <c r="T60" s="20" t="n">
        <f aca="false">IFERROR(M60/H60,0)</f>
        <v>0.00162421265301272</v>
      </c>
      <c r="U60" s="17" t="str">
        <f aca="false">IF(F60&lt;1,"Under 1 min",IF(F60&lt;5,"1-5 min",IF(F60&lt;10,"5-10 min",IF(F60&lt;20,"10-20 min","20+ min"))))</f>
        <v>Under 1 min</v>
      </c>
      <c r="V60" s="17" t="str">
        <f aca="false">IF(WEEKDAY(E60,2)&gt;5,"Weekend","Weekday")</f>
        <v>Weekday</v>
      </c>
    </row>
    <row r="61" customFormat="false" ht="15" hidden="false" customHeight="false" outlineLevel="0" collapsed="false">
      <c r="A61" s="17" t="s">
        <v>235</v>
      </c>
      <c r="B61" s="17" t="s">
        <v>236</v>
      </c>
      <c r="C61" s="17" t="s">
        <v>111</v>
      </c>
      <c r="D61" s="17" t="s">
        <v>112</v>
      </c>
      <c r="E61" s="23" t="n">
        <v>46051</v>
      </c>
      <c r="F61" s="24" t="n">
        <v>8.8</v>
      </c>
      <c r="G61" s="18" t="n">
        <v>563833</v>
      </c>
      <c r="H61" s="18" t="n">
        <v>23885</v>
      </c>
      <c r="I61" s="18" t="n">
        <v>1027</v>
      </c>
      <c r="J61" s="18" t="n">
        <v>83</v>
      </c>
      <c r="K61" s="18" t="n">
        <v>77</v>
      </c>
      <c r="L61" s="25" t="n">
        <v>1669.9</v>
      </c>
      <c r="M61" s="18" t="n">
        <v>157</v>
      </c>
      <c r="N61" s="26" t="n">
        <f aca="false">DATE(YEAR(E61),MONTH(E61),1)</f>
        <v>46023</v>
      </c>
      <c r="O61" s="17" t="str">
        <f aca="false">CHOOSE(WEEKDAY(E61,2),"Mon","Tue","Wed","Thu","Fri","Sat","Sun")</f>
        <v>Thu</v>
      </c>
      <c r="P61" s="21" t="n">
        <f aca="false">IFERROR(H61/G61,0)</f>
        <v>0.0423618340891718</v>
      </c>
      <c r="Q61" s="19" t="n">
        <f aca="false">IFERROR((I61+J61+K61)/H61,0)</f>
        <v>0.0496964622147792</v>
      </c>
      <c r="R61" s="27" t="n">
        <f aca="false">IFERROR(L61*60/H61,0)</f>
        <v>4.19485032447143</v>
      </c>
      <c r="S61" s="21" t="n">
        <f aca="false">IFERROR(R61/F61,0)</f>
        <v>0.476687536871753</v>
      </c>
      <c r="T61" s="20" t="n">
        <f aca="false">IFERROR(M61/H61,0)</f>
        <v>0.00657316307305841</v>
      </c>
      <c r="U61" s="17" t="str">
        <f aca="false">IF(F61&lt;1,"Under 1 min",IF(F61&lt;5,"1-5 min",IF(F61&lt;10,"5-10 min",IF(F61&lt;20,"10-20 min","20+ min"))))</f>
        <v>5-10 min</v>
      </c>
      <c r="V61" s="17" t="str">
        <f aca="false">IF(WEEKDAY(E61,2)&gt;5,"Weekend","Weekday")</f>
        <v>Weekday</v>
      </c>
    </row>
    <row r="62" customFormat="false" ht="15" hidden="false" customHeight="false" outlineLevel="0" collapsed="false">
      <c r="A62" s="17" t="s">
        <v>237</v>
      </c>
      <c r="B62" s="17" t="s">
        <v>238</v>
      </c>
      <c r="C62" s="17" t="s">
        <v>111</v>
      </c>
      <c r="D62" s="17" t="s">
        <v>112</v>
      </c>
      <c r="E62" s="23" t="n">
        <v>46055</v>
      </c>
      <c r="F62" s="24" t="n">
        <v>8.5</v>
      </c>
      <c r="G62" s="18" t="n">
        <v>617572</v>
      </c>
      <c r="H62" s="18" t="n">
        <v>33826</v>
      </c>
      <c r="I62" s="18" t="n">
        <v>1397</v>
      </c>
      <c r="J62" s="18" t="n">
        <v>98</v>
      </c>
      <c r="K62" s="18" t="n">
        <v>70</v>
      </c>
      <c r="L62" s="25" t="n">
        <v>2419.9</v>
      </c>
      <c r="M62" s="18" t="n">
        <v>252</v>
      </c>
      <c r="N62" s="26" t="n">
        <f aca="false">DATE(YEAR(E62),MONTH(E62),1)</f>
        <v>46054</v>
      </c>
      <c r="O62" s="17" t="str">
        <f aca="false">CHOOSE(WEEKDAY(E62,2),"Mon","Tue","Wed","Thu","Fri","Sat","Sun")</f>
        <v>Mon</v>
      </c>
      <c r="P62" s="21" t="n">
        <f aca="false">IFERROR(H62/G62,0)</f>
        <v>0.0547725609321666</v>
      </c>
      <c r="Q62" s="19" t="n">
        <f aca="false">IFERROR((I62+J62+K62)/H62,0)</f>
        <v>0.0462661857742565</v>
      </c>
      <c r="R62" s="27" t="n">
        <f aca="false">IFERROR(L62*60/H62,0)</f>
        <v>4.2923786436469</v>
      </c>
      <c r="S62" s="21" t="n">
        <f aca="false">IFERROR(R62/F62,0)</f>
        <v>0.504985722781988</v>
      </c>
      <c r="T62" s="20" t="n">
        <f aca="false">IFERROR(M62/H62,0)</f>
        <v>0.00744989061668539</v>
      </c>
      <c r="U62" s="17" t="str">
        <f aca="false">IF(F62&lt;1,"Under 1 min",IF(F62&lt;5,"1-5 min",IF(F62&lt;10,"5-10 min",IF(F62&lt;20,"10-20 min","20+ min"))))</f>
        <v>5-10 min</v>
      </c>
      <c r="V62" s="17" t="str">
        <f aca="false">IF(WEEKDAY(E62,2)&gt;5,"Weekend","Weekday")</f>
        <v>Weekday</v>
      </c>
    </row>
    <row r="63" customFormat="false" ht="15" hidden="false" customHeight="false" outlineLevel="0" collapsed="false">
      <c r="A63" s="17" t="s">
        <v>239</v>
      </c>
      <c r="B63" s="17" t="s">
        <v>240</v>
      </c>
      <c r="C63" s="17" t="s">
        <v>202</v>
      </c>
      <c r="D63" s="17" t="s">
        <v>112</v>
      </c>
      <c r="E63" s="23" t="n">
        <v>46063</v>
      </c>
      <c r="F63" s="24" t="n">
        <v>24.2</v>
      </c>
      <c r="G63" s="18" t="n">
        <v>113164</v>
      </c>
      <c r="H63" s="18" t="n">
        <v>4621</v>
      </c>
      <c r="I63" s="18" t="n">
        <v>108</v>
      </c>
      <c r="J63" s="18" t="n">
        <v>17</v>
      </c>
      <c r="K63" s="18" t="n">
        <v>20</v>
      </c>
      <c r="L63" s="25" t="n">
        <v>677.7</v>
      </c>
      <c r="M63" s="18" t="n">
        <v>9</v>
      </c>
      <c r="N63" s="26" t="n">
        <f aca="false">DATE(YEAR(E63),MONTH(E63),1)</f>
        <v>46054</v>
      </c>
      <c r="O63" s="17" t="str">
        <f aca="false">CHOOSE(WEEKDAY(E63,2),"Mon","Tue","Wed","Thu","Fri","Sat","Sun")</f>
        <v>Tue</v>
      </c>
      <c r="P63" s="21" t="n">
        <f aca="false">IFERROR(H63/G63,0)</f>
        <v>0.0408345410201124</v>
      </c>
      <c r="Q63" s="19" t="n">
        <f aca="false">IFERROR((I63+J63+K63)/H63,0)</f>
        <v>0.0313784895044363</v>
      </c>
      <c r="R63" s="27" t="n">
        <f aca="false">IFERROR(L63*60/H63,0)</f>
        <v>8.7993940705475</v>
      </c>
      <c r="S63" s="21" t="n">
        <f aca="false">IFERROR(R63/F63,0)</f>
        <v>0.363611325229236</v>
      </c>
      <c r="T63" s="20" t="n">
        <f aca="false">IFERROR(M63/H63,0)</f>
        <v>0.00194763038303398</v>
      </c>
      <c r="U63" s="17" t="str">
        <f aca="false">IF(F63&lt;1,"Under 1 min",IF(F63&lt;5,"1-5 min",IF(F63&lt;10,"5-10 min",IF(F63&lt;20,"10-20 min","20+ min"))))</f>
        <v>20+ min</v>
      </c>
      <c r="V63" s="17" t="str">
        <f aca="false">IF(WEEKDAY(E63,2)&gt;5,"Weekend","Weekday")</f>
        <v>Weekday</v>
      </c>
    </row>
    <row r="64" customFormat="false" ht="15" hidden="false" customHeight="false" outlineLevel="0" collapsed="false">
      <c r="A64" s="17" t="s">
        <v>241</v>
      </c>
      <c r="B64" s="17" t="s">
        <v>242</v>
      </c>
      <c r="C64" s="17" t="s">
        <v>115</v>
      </c>
      <c r="D64" s="17" t="s">
        <v>112</v>
      </c>
      <c r="E64" s="23" t="n">
        <v>46065</v>
      </c>
      <c r="F64" s="24" t="n">
        <v>13.4</v>
      </c>
      <c r="G64" s="18" t="n">
        <v>732493</v>
      </c>
      <c r="H64" s="18" t="n">
        <v>31217</v>
      </c>
      <c r="I64" s="18" t="n">
        <v>1508</v>
      </c>
      <c r="J64" s="18" t="n">
        <v>113</v>
      </c>
      <c r="K64" s="18" t="n">
        <v>119</v>
      </c>
      <c r="L64" s="25" t="n">
        <v>2515.1</v>
      </c>
      <c r="M64" s="18" t="n">
        <v>151</v>
      </c>
      <c r="N64" s="26" t="n">
        <f aca="false">DATE(YEAR(E64),MONTH(E64),1)</f>
        <v>46054</v>
      </c>
      <c r="O64" s="17" t="str">
        <f aca="false">CHOOSE(WEEKDAY(E64,2),"Mon","Tue","Wed","Thu","Fri","Sat","Sun")</f>
        <v>Thu</v>
      </c>
      <c r="P64" s="21" t="n">
        <f aca="false">IFERROR(H64/G64,0)</f>
        <v>0.0426174721123615</v>
      </c>
      <c r="Q64" s="19" t="n">
        <f aca="false">IFERROR((I64+J64+K64)/H64,0)</f>
        <v>0.0557388602364097</v>
      </c>
      <c r="R64" s="27" t="n">
        <f aca="false">IFERROR(L64*60/H64,0)</f>
        <v>4.83409680622738</v>
      </c>
      <c r="S64" s="21" t="n">
        <f aca="false">IFERROR(R64/F64,0)</f>
        <v>0.360753493002043</v>
      </c>
      <c r="T64" s="20" t="n">
        <f aca="false">IFERROR(M64/H64,0)</f>
        <v>0.00483710798603325</v>
      </c>
      <c r="U64" s="17" t="str">
        <f aca="false">IF(F64&lt;1,"Under 1 min",IF(F64&lt;5,"1-5 min",IF(F64&lt;10,"5-10 min",IF(F64&lt;20,"10-20 min","20+ min"))))</f>
        <v>10-20 min</v>
      </c>
      <c r="V64" s="17" t="str">
        <f aca="false">IF(WEEKDAY(E64,2)&gt;5,"Weekend","Weekday")</f>
        <v>Weekday</v>
      </c>
    </row>
    <row r="65" customFormat="false" ht="15" hidden="false" customHeight="false" outlineLevel="0" collapsed="false">
      <c r="A65" s="17" t="s">
        <v>243</v>
      </c>
      <c r="B65" s="17" t="s">
        <v>244</v>
      </c>
      <c r="C65" s="17" t="s">
        <v>128</v>
      </c>
      <c r="D65" s="17" t="s">
        <v>112</v>
      </c>
      <c r="E65" s="23" t="n">
        <v>46066</v>
      </c>
      <c r="F65" s="24" t="n">
        <v>8.6</v>
      </c>
      <c r="G65" s="18" t="n">
        <v>590987</v>
      </c>
      <c r="H65" s="18" t="n">
        <v>28745</v>
      </c>
      <c r="I65" s="18" t="n">
        <v>966</v>
      </c>
      <c r="J65" s="18" t="n">
        <v>96</v>
      </c>
      <c r="K65" s="18" t="n">
        <v>172</v>
      </c>
      <c r="L65" s="25" t="n">
        <v>1804.9</v>
      </c>
      <c r="M65" s="18" t="n">
        <v>151</v>
      </c>
      <c r="N65" s="26" t="n">
        <f aca="false">DATE(YEAR(E65),MONTH(E65),1)</f>
        <v>46054</v>
      </c>
      <c r="O65" s="17" t="str">
        <f aca="false">CHOOSE(WEEKDAY(E65,2),"Mon","Tue","Wed","Thu","Fri","Sat","Sun")</f>
        <v>Fri</v>
      </c>
      <c r="P65" s="21" t="n">
        <f aca="false">IFERROR(H65/G65,0)</f>
        <v>0.0486389717540318</v>
      </c>
      <c r="Q65" s="19" t="n">
        <f aca="false">IFERROR((I65+J65+K65)/H65,0)</f>
        <v>0.0429292050791442</v>
      </c>
      <c r="R65" s="27" t="n">
        <f aca="false">IFERROR(L65*60/H65,0)</f>
        <v>3.76740302661332</v>
      </c>
      <c r="S65" s="21" t="n">
        <f aca="false">IFERROR(R65/F65,0)</f>
        <v>0.438070119373642</v>
      </c>
      <c r="T65" s="20" t="n">
        <f aca="false">IFERROR(M65/H65,0)</f>
        <v>0.00525308749347713</v>
      </c>
      <c r="U65" s="17" t="str">
        <f aca="false">IF(F65&lt;1,"Under 1 min",IF(F65&lt;5,"1-5 min",IF(F65&lt;10,"5-10 min",IF(F65&lt;20,"10-20 min","20+ min"))))</f>
        <v>5-10 min</v>
      </c>
      <c r="V65" s="17" t="str">
        <f aca="false">IF(WEEKDAY(E65,2)&gt;5,"Weekend","Weekday")</f>
        <v>Weekday</v>
      </c>
    </row>
    <row r="66" customFormat="false" ht="15" hidden="false" customHeight="false" outlineLevel="0" collapsed="false">
      <c r="A66" s="17" t="s">
        <v>245</v>
      </c>
      <c r="B66" s="17" t="s">
        <v>246</v>
      </c>
      <c r="C66" s="17" t="s">
        <v>128</v>
      </c>
      <c r="D66" s="17" t="s">
        <v>121</v>
      </c>
      <c r="E66" s="23" t="n">
        <v>46069</v>
      </c>
      <c r="F66" s="24" t="n">
        <v>0.32</v>
      </c>
      <c r="G66" s="18" t="n">
        <v>598539</v>
      </c>
      <c r="H66" s="18" t="n">
        <v>42215</v>
      </c>
      <c r="I66" s="18" t="n">
        <v>493</v>
      </c>
      <c r="J66" s="18" t="n">
        <v>36</v>
      </c>
      <c r="K66" s="18" t="n">
        <v>284</v>
      </c>
      <c r="L66" s="25" t="n">
        <v>183.2</v>
      </c>
      <c r="M66" s="18" t="n">
        <v>100</v>
      </c>
      <c r="N66" s="26" t="n">
        <f aca="false">DATE(YEAR(E66),MONTH(E66),1)</f>
        <v>46054</v>
      </c>
      <c r="O66" s="17" t="str">
        <f aca="false">CHOOSE(WEEKDAY(E66,2),"Mon","Tue","Wed","Thu","Fri","Sat","Sun")</f>
        <v>Mon</v>
      </c>
      <c r="P66" s="21" t="n">
        <f aca="false">IFERROR(H66/G66,0)</f>
        <v>0.0705300740636784</v>
      </c>
      <c r="Q66" s="19" t="n">
        <f aca="false">IFERROR((I66+J66+K66)/H66,0)</f>
        <v>0.0192585573848158</v>
      </c>
      <c r="R66" s="27" t="n">
        <f aca="false">IFERROR(L66*60/H66,0)</f>
        <v>0.260381381025702</v>
      </c>
      <c r="S66" s="21" t="n">
        <f aca="false">IFERROR(R66/F66,0)</f>
        <v>0.813691815705318</v>
      </c>
      <c r="T66" s="20" t="n">
        <f aca="false">IFERROR(M66/H66,0)</f>
        <v>0.00236882624659481</v>
      </c>
      <c r="U66" s="17" t="str">
        <f aca="false">IF(F66&lt;1,"Under 1 min",IF(F66&lt;5,"1-5 min",IF(F66&lt;10,"5-10 min",IF(F66&lt;20,"10-20 min","20+ min"))))</f>
        <v>Under 1 min</v>
      </c>
      <c r="V66" s="17" t="str">
        <f aca="false">IF(WEEKDAY(E66,2)&gt;5,"Weekend","Weekday")</f>
        <v>Weekday</v>
      </c>
    </row>
    <row r="67" customFormat="false" ht="15" hidden="false" customHeight="false" outlineLevel="0" collapsed="false">
      <c r="A67" s="17" t="s">
        <v>247</v>
      </c>
      <c r="B67" s="17" t="s">
        <v>248</v>
      </c>
      <c r="C67" s="17" t="s">
        <v>128</v>
      </c>
      <c r="D67" s="17" t="s">
        <v>121</v>
      </c>
      <c r="E67" s="23" t="n">
        <v>46073</v>
      </c>
      <c r="F67" s="24" t="n">
        <v>0.28</v>
      </c>
      <c r="G67" s="18" t="n">
        <v>415687</v>
      </c>
      <c r="H67" s="18" t="n">
        <v>41491</v>
      </c>
      <c r="I67" s="18" t="n">
        <v>1375</v>
      </c>
      <c r="J67" s="18" t="n">
        <v>132</v>
      </c>
      <c r="K67" s="18" t="n">
        <v>250</v>
      </c>
      <c r="L67" s="25" t="n">
        <v>160</v>
      </c>
      <c r="M67" s="18" t="n">
        <v>89</v>
      </c>
      <c r="N67" s="26" t="n">
        <f aca="false">DATE(YEAR(E67),MONTH(E67),1)</f>
        <v>46054</v>
      </c>
      <c r="O67" s="17" t="str">
        <f aca="false">CHOOSE(WEEKDAY(E67,2),"Mon","Tue","Wed","Thu","Fri","Sat","Sun")</f>
        <v>Fri</v>
      </c>
      <c r="P67" s="21" t="n">
        <f aca="false">IFERROR(H67/G67,0)</f>
        <v>0.0998130805149066</v>
      </c>
      <c r="Q67" s="19" t="n">
        <f aca="false">IFERROR((I67+J67+K67)/H67,0)</f>
        <v>0.0423465329830566</v>
      </c>
      <c r="R67" s="27" t="n">
        <f aca="false">IFERROR(L67*60/H67,0)</f>
        <v>0.231375479019546</v>
      </c>
      <c r="S67" s="21" t="n">
        <f aca="false">IFERROR(R67/F67,0)</f>
        <v>0.82634099649838</v>
      </c>
      <c r="T67" s="20" t="n">
        <f aca="false">IFERROR(M67/H67,0)</f>
        <v>0.00214504350341038</v>
      </c>
      <c r="U67" s="17" t="str">
        <f aca="false">IF(F67&lt;1,"Under 1 min",IF(F67&lt;5,"1-5 min",IF(F67&lt;10,"5-10 min",IF(F67&lt;20,"10-20 min","20+ min"))))</f>
        <v>Under 1 min</v>
      </c>
      <c r="V67" s="17" t="str">
        <f aca="false">IF(WEEKDAY(E67,2)&gt;5,"Weekend","Weekday")</f>
        <v>Weekday</v>
      </c>
    </row>
    <row r="68" customFormat="false" ht="15" hidden="false" customHeight="false" outlineLevel="0" collapsed="false">
      <c r="A68" s="17" t="s">
        <v>249</v>
      </c>
      <c r="B68" s="17" t="s">
        <v>250</v>
      </c>
      <c r="C68" s="17" t="s">
        <v>111</v>
      </c>
      <c r="D68" s="17" t="s">
        <v>112</v>
      </c>
      <c r="E68" s="23" t="n">
        <v>46074</v>
      </c>
      <c r="F68" s="24" t="n">
        <v>11.7</v>
      </c>
      <c r="G68" s="18" t="n">
        <v>1385091</v>
      </c>
      <c r="H68" s="18" t="n">
        <v>73992</v>
      </c>
      <c r="I68" s="18" t="n">
        <v>2911</v>
      </c>
      <c r="J68" s="18" t="n">
        <v>312</v>
      </c>
      <c r="K68" s="18" t="n">
        <v>326</v>
      </c>
      <c r="L68" s="25" t="n">
        <v>6896.4</v>
      </c>
      <c r="M68" s="18" t="n">
        <v>386</v>
      </c>
      <c r="N68" s="26" t="n">
        <f aca="false">DATE(YEAR(E68),MONTH(E68),1)</f>
        <v>46054</v>
      </c>
      <c r="O68" s="17" t="str">
        <f aca="false">CHOOSE(WEEKDAY(E68,2),"Mon","Tue","Wed","Thu","Fri","Sat","Sun")</f>
        <v>Sat</v>
      </c>
      <c r="P68" s="21" t="n">
        <f aca="false">IFERROR(H68/G68,0)</f>
        <v>0.05342031678785</v>
      </c>
      <c r="Q68" s="19" t="n">
        <f aca="false">IFERROR((I68+J68+K68)/H68,0)</f>
        <v>0.0479646448264677</v>
      </c>
      <c r="R68" s="27" t="n">
        <f aca="false">IFERROR(L68*60/H68,0)</f>
        <v>5.59228024651314</v>
      </c>
      <c r="S68" s="21" t="n">
        <f aca="false">IFERROR(R68/F68,0)</f>
        <v>0.477972670642149</v>
      </c>
      <c r="T68" s="20" t="n">
        <f aca="false">IFERROR(M68/H68,0)</f>
        <v>0.00521678019245324</v>
      </c>
      <c r="U68" s="17" t="str">
        <f aca="false">IF(F68&lt;1,"Under 1 min",IF(F68&lt;5,"1-5 min",IF(F68&lt;10,"5-10 min",IF(F68&lt;20,"10-20 min","20+ min"))))</f>
        <v>10-20 min</v>
      </c>
      <c r="V68" s="17" t="str">
        <f aca="false">IF(WEEKDAY(E68,2)&gt;5,"Weekend","Weekday")</f>
        <v>Weekend</v>
      </c>
    </row>
    <row r="69" customFormat="false" ht="15" hidden="false" customHeight="false" outlineLevel="0" collapsed="false">
      <c r="A69" s="17" t="s">
        <v>251</v>
      </c>
      <c r="B69" s="17" t="s">
        <v>252</v>
      </c>
      <c r="C69" s="17" t="s">
        <v>128</v>
      </c>
      <c r="D69" s="17" t="s">
        <v>121</v>
      </c>
      <c r="E69" s="23" t="n">
        <v>46074</v>
      </c>
      <c r="F69" s="24" t="n">
        <v>0.7</v>
      </c>
      <c r="G69" s="18" t="n">
        <v>339392</v>
      </c>
      <c r="H69" s="18" t="n">
        <v>30383</v>
      </c>
      <c r="I69" s="18" t="n">
        <v>957</v>
      </c>
      <c r="J69" s="18" t="n">
        <v>9</v>
      </c>
      <c r="K69" s="18" t="n">
        <v>171</v>
      </c>
      <c r="L69" s="25" t="n">
        <v>274.3</v>
      </c>
      <c r="M69" s="18" t="n">
        <v>70</v>
      </c>
      <c r="N69" s="26" t="n">
        <f aca="false">DATE(YEAR(E69),MONTH(E69),1)</f>
        <v>46054</v>
      </c>
      <c r="O69" s="17" t="str">
        <f aca="false">CHOOSE(WEEKDAY(E69,2),"Mon","Tue","Wed","Thu","Fri","Sat","Sun")</f>
        <v>Sat</v>
      </c>
      <c r="P69" s="21" t="n">
        <f aca="false">IFERROR(H69/G69,0)</f>
        <v>0.0895218508391477</v>
      </c>
      <c r="Q69" s="19" t="n">
        <f aca="false">IFERROR((I69+J69+K69)/H69,0)</f>
        <v>0.0374222427015107</v>
      </c>
      <c r="R69" s="27" t="n">
        <f aca="false">IFERROR(L69*60/H69,0)</f>
        <v>0.541684494618701</v>
      </c>
      <c r="S69" s="21" t="n">
        <f aca="false">IFERROR(R69/F69,0)</f>
        <v>0.773834992312431</v>
      </c>
      <c r="T69" s="20" t="n">
        <f aca="false">IFERROR(M69/H69,0)</f>
        <v>0.00230391995523813</v>
      </c>
      <c r="U69" s="17" t="str">
        <f aca="false">IF(F69&lt;1,"Under 1 min",IF(F69&lt;5,"1-5 min",IF(F69&lt;10,"5-10 min",IF(F69&lt;20,"10-20 min","20+ min"))))</f>
        <v>Under 1 min</v>
      </c>
      <c r="V69" s="17" t="str">
        <f aca="false">IF(WEEKDAY(E69,2)&gt;5,"Weekend","Weekday")</f>
        <v>Weekend</v>
      </c>
    </row>
    <row r="70" customFormat="false" ht="15" hidden="false" customHeight="false" outlineLevel="0" collapsed="false">
      <c r="A70" s="17" t="s">
        <v>253</v>
      </c>
      <c r="B70" s="17" t="s">
        <v>254</v>
      </c>
      <c r="C70" s="17" t="s">
        <v>202</v>
      </c>
      <c r="D70" s="17" t="s">
        <v>112</v>
      </c>
      <c r="E70" s="23" t="n">
        <v>46075</v>
      </c>
      <c r="F70" s="24" t="n">
        <v>24.3</v>
      </c>
      <c r="G70" s="18" t="n">
        <v>111629</v>
      </c>
      <c r="H70" s="18" t="n">
        <v>5849</v>
      </c>
      <c r="I70" s="18" t="n">
        <v>172</v>
      </c>
      <c r="J70" s="18" t="n">
        <v>21</v>
      </c>
      <c r="K70" s="18" t="n">
        <v>22</v>
      </c>
      <c r="L70" s="25" t="n">
        <v>674.8</v>
      </c>
      <c r="M70" s="18" t="n">
        <v>9</v>
      </c>
      <c r="N70" s="26" t="n">
        <f aca="false">DATE(YEAR(E70),MONTH(E70),1)</f>
        <v>46054</v>
      </c>
      <c r="O70" s="17" t="str">
        <f aca="false">CHOOSE(WEEKDAY(E70,2),"Mon","Tue","Wed","Thu","Fri","Sat","Sun")</f>
        <v>Sun</v>
      </c>
      <c r="P70" s="21" t="n">
        <f aca="false">IFERROR(H70/G70,0)</f>
        <v>0.0523967786148761</v>
      </c>
      <c r="Q70" s="19" t="n">
        <f aca="false">IFERROR((I70+J70+K70)/H70,0)</f>
        <v>0.0367584202427765</v>
      </c>
      <c r="R70" s="27" t="n">
        <f aca="false">IFERROR(L70*60/H70,0)</f>
        <v>6.9222089246025</v>
      </c>
      <c r="S70" s="21" t="n">
        <f aca="false">IFERROR(R70/F70,0)</f>
        <v>0.284864564798457</v>
      </c>
      <c r="T70" s="20" t="n">
        <f aca="false">IFERROR(M70/H70,0)</f>
        <v>0.00153872456830227</v>
      </c>
      <c r="U70" s="17" t="str">
        <f aca="false">IF(F70&lt;1,"Under 1 min",IF(F70&lt;5,"1-5 min",IF(F70&lt;10,"5-10 min",IF(F70&lt;20,"10-20 min","20+ min"))))</f>
        <v>20+ min</v>
      </c>
      <c r="V70" s="17" t="str">
        <f aca="false">IF(WEEKDAY(E70,2)&gt;5,"Weekend","Weekday")</f>
        <v>Weekend</v>
      </c>
    </row>
    <row r="71" customFormat="false" ht="15" hidden="false" customHeight="false" outlineLevel="0" collapsed="false">
      <c r="A71" s="17" t="s">
        <v>255</v>
      </c>
      <c r="B71" s="17" t="s">
        <v>256</v>
      </c>
      <c r="C71" s="17" t="s">
        <v>111</v>
      </c>
      <c r="D71" s="17" t="s">
        <v>112</v>
      </c>
      <c r="E71" s="23" t="n">
        <v>46077</v>
      </c>
      <c r="F71" s="24" t="n">
        <v>13.7</v>
      </c>
      <c r="G71" s="18" t="n">
        <v>727861</v>
      </c>
      <c r="H71" s="18" t="n">
        <v>45360</v>
      </c>
      <c r="I71" s="18" t="n">
        <v>2192</v>
      </c>
      <c r="J71" s="18" t="n">
        <v>125</v>
      </c>
      <c r="K71" s="18" t="n">
        <v>196</v>
      </c>
      <c r="L71" s="25" t="n">
        <v>3827.8</v>
      </c>
      <c r="M71" s="18" t="n">
        <v>232</v>
      </c>
      <c r="N71" s="26" t="n">
        <f aca="false">DATE(YEAR(E71),MONTH(E71),1)</f>
        <v>46054</v>
      </c>
      <c r="O71" s="17" t="str">
        <f aca="false">CHOOSE(WEEKDAY(E71,2),"Mon","Tue","Wed","Thu","Fri","Sat","Sun")</f>
        <v>Tue</v>
      </c>
      <c r="P71" s="21" t="n">
        <f aca="false">IFERROR(H71/G71,0)</f>
        <v>0.0623195912406352</v>
      </c>
      <c r="Q71" s="19" t="n">
        <f aca="false">IFERROR((I71+J71+K71)/H71,0)</f>
        <v>0.0554012345679012</v>
      </c>
      <c r="R71" s="27" t="n">
        <f aca="false">IFERROR(L71*60/H71,0)</f>
        <v>5.06322751322751</v>
      </c>
      <c r="S71" s="21" t="n">
        <f aca="false">IFERROR(R71/F71,0)</f>
        <v>0.369578650600548</v>
      </c>
      <c r="T71" s="20" t="n">
        <f aca="false">IFERROR(M71/H71,0)</f>
        <v>0.00511463844797178</v>
      </c>
      <c r="U71" s="17" t="str">
        <f aca="false">IF(F71&lt;1,"Under 1 min",IF(F71&lt;5,"1-5 min",IF(F71&lt;10,"5-10 min",IF(F71&lt;20,"10-20 min","20+ min"))))</f>
        <v>10-20 min</v>
      </c>
      <c r="V71" s="17" t="str">
        <f aca="false">IF(WEEKDAY(E71,2)&gt;5,"Weekend","Weekday")</f>
        <v>Weekday</v>
      </c>
    </row>
    <row r="72" customFormat="false" ht="15" hidden="false" customHeight="false" outlineLevel="0" collapsed="false">
      <c r="A72" s="17" t="s">
        <v>257</v>
      </c>
      <c r="B72" s="17" t="s">
        <v>258</v>
      </c>
      <c r="C72" s="17" t="s">
        <v>115</v>
      </c>
      <c r="D72" s="17" t="s">
        <v>112</v>
      </c>
      <c r="E72" s="23" t="n">
        <v>46079</v>
      </c>
      <c r="F72" s="24" t="n">
        <v>16</v>
      </c>
      <c r="G72" s="18" t="n">
        <v>299083</v>
      </c>
      <c r="H72" s="18" t="n">
        <v>15700</v>
      </c>
      <c r="I72" s="18" t="n">
        <v>551</v>
      </c>
      <c r="J72" s="18" t="n">
        <v>48</v>
      </c>
      <c r="K72" s="18" t="n">
        <v>69</v>
      </c>
      <c r="L72" s="25" t="n">
        <v>1786.9</v>
      </c>
      <c r="M72" s="18" t="n">
        <v>61</v>
      </c>
      <c r="N72" s="26" t="n">
        <f aca="false">DATE(YEAR(E72),MONTH(E72),1)</f>
        <v>46054</v>
      </c>
      <c r="O72" s="17" t="str">
        <f aca="false">CHOOSE(WEEKDAY(E72,2),"Mon","Tue","Wed","Thu","Fri","Sat","Sun")</f>
        <v>Thu</v>
      </c>
      <c r="P72" s="21" t="n">
        <f aca="false">IFERROR(H72/G72,0)</f>
        <v>0.0524937893494448</v>
      </c>
      <c r="Q72" s="19" t="n">
        <f aca="false">IFERROR((I72+J72+K72)/H72,0)</f>
        <v>0.0425477707006369</v>
      </c>
      <c r="R72" s="27" t="n">
        <f aca="false">IFERROR(L72*60/H72,0)</f>
        <v>6.82891719745223</v>
      </c>
      <c r="S72" s="21" t="n">
        <f aca="false">IFERROR(R72/F72,0)</f>
        <v>0.426807324840764</v>
      </c>
      <c r="T72" s="20" t="n">
        <f aca="false">IFERROR(M72/H72,0)</f>
        <v>0.00388535031847134</v>
      </c>
      <c r="U72" s="17" t="str">
        <f aca="false">IF(F72&lt;1,"Under 1 min",IF(F72&lt;5,"1-5 min",IF(F72&lt;10,"5-10 min",IF(F72&lt;20,"10-20 min","20+ min"))))</f>
        <v>10-20 min</v>
      </c>
      <c r="V72" s="17" t="str">
        <f aca="false">IF(WEEKDAY(E72,2)&gt;5,"Weekend","Weekday")</f>
        <v>Weekday</v>
      </c>
    </row>
    <row r="73" customFormat="false" ht="15" hidden="false" customHeight="false" outlineLevel="0" collapsed="false">
      <c r="A73" s="17" t="s">
        <v>259</v>
      </c>
      <c r="B73" s="17" t="s">
        <v>260</v>
      </c>
      <c r="C73" s="17" t="s">
        <v>128</v>
      </c>
      <c r="D73" s="17" t="s">
        <v>112</v>
      </c>
      <c r="E73" s="23" t="n">
        <v>46080</v>
      </c>
      <c r="F73" s="24" t="n">
        <v>11.4</v>
      </c>
      <c r="G73" s="18" t="n">
        <v>854956</v>
      </c>
      <c r="H73" s="18" t="n">
        <v>52247</v>
      </c>
      <c r="I73" s="18" t="n">
        <v>1947</v>
      </c>
      <c r="J73" s="18" t="n">
        <v>190</v>
      </c>
      <c r="K73" s="18" t="n">
        <v>186</v>
      </c>
      <c r="L73" s="25" t="n">
        <v>3546.5</v>
      </c>
      <c r="M73" s="18" t="n">
        <v>272</v>
      </c>
      <c r="N73" s="26" t="n">
        <f aca="false">DATE(YEAR(E73),MONTH(E73),1)</f>
        <v>46054</v>
      </c>
      <c r="O73" s="17" t="str">
        <f aca="false">CHOOSE(WEEKDAY(E73,2),"Mon","Tue","Wed","Thu","Fri","Sat","Sun")</f>
        <v>Fri</v>
      </c>
      <c r="P73" s="21" t="n">
        <f aca="false">IFERROR(H73/G73,0)</f>
        <v>0.06111074721974</v>
      </c>
      <c r="Q73" s="19" t="n">
        <f aca="false">IFERROR((I73+J73+K73)/H73,0)</f>
        <v>0.044461882978927</v>
      </c>
      <c r="R73" s="27" t="n">
        <f aca="false">IFERROR(L73*60/H73,0)</f>
        <v>4.07276972840546</v>
      </c>
      <c r="S73" s="21" t="n">
        <f aca="false">IFERROR(R73/F73,0)</f>
        <v>0.357260502491707</v>
      </c>
      <c r="T73" s="20" t="n">
        <f aca="false">IFERROR(M73/H73,0)</f>
        <v>0.00520604053821272</v>
      </c>
      <c r="U73" s="17" t="str">
        <f aca="false">IF(F73&lt;1,"Under 1 min",IF(F73&lt;5,"1-5 min",IF(F73&lt;10,"5-10 min",IF(F73&lt;20,"10-20 min","20+ min"))))</f>
        <v>10-20 min</v>
      </c>
      <c r="V73" s="17" t="str">
        <f aca="false">IF(WEEKDAY(E73,2)&gt;5,"Weekend","Weekday")</f>
        <v>Weekday</v>
      </c>
    </row>
    <row r="74" customFormat="false" ht="15" hidden="false" customHeight="false" outlineLevel="0" collapsed="false">
      <c r="A74" s="17" t="s">
        <v>261</v>
      </c>
      <c r="B74" s="17" t="s">
        <v>262</v>
      </c>
      <c r="C74" s="17" t="s">
        <v>111</v>
      </c>
      <c r="D74" s="17" t="s">
        <v>112</v>
      </c>
      <c r="E74" s="23" t="n">
        <v>46085</v>
      </c>
      <c r="F74" s="24" t="n">
        <v>11.9</v>
      </c>
      <c r="G74" s="18" t="n">
        <v>1559936</v>
      </c>
      <c r="H74" s="18" t="n">
        <v>88027</v>
      </c>
      <c r="I74" s="18" t="n">
        <v>3729</v>
      </c>
      <c r="J74" s="18" t="n">
        <v>369</v>
      </c>
      <c r="K74" s="18" t="n">
        <v>434</v>
      </c>
      <c r="L74" s="25" t="n">
        <v>6882.6</v>
      </c>
      <c r="M74" s="18" t="n">
        <v>492</v>
      </c>
      <c r="N74" s="26" t="n">
        <f aca="false">DATE(YEAR(E74),MONTH(E74),1)</f>
        <v>46082</v>
      </c>
      <c r="O74" s="17" t="str">
        <f aca="false">CHOOSE(WEEKDAY(E74,2),"Mon","Tue","Wed","Thu","Fri","Sat","Sun")</f>
        <v>Wed</v>
      </c>
      <c r="P74" s="21" t="n">
        <f aca="false">IFERROR(H74/G74,0)</f>
        <v>0.0564298791745302</v>
      </c>
      <c r="Q74" s="19" t="n">
        <f aca="false">IFERROR((I74+J74+K74)/H74,0)</f>
        <v>0.0514842037102253</v>
      </c>
      <c r="R74" s="27" t="n">
        <f aca="false">IFERROR(L74*60/H74,0)</f>
        <v>4.69124245969987</v>
      </c>
      <c r="S74" s="21" t="n">
        <f aca="false">IFERROR(R74/F74,0)</f>
        <v>0.394222055436963</v>
      </c>
      <c r="T74" s="20" t="n">
        <f aca="false">IFERROR(M74/H74,0)</f>
        <v>0.0055891942244993</v>
      </c>
      <c r="U74" s="17" t="str">
        <f aca="false">IF(F74&lt;1,"Under 1 min",IF(F74&lt;5,"1-5 min",IF(F74&lt;10,"5-10 min",IF(F74&lt;20,"10-20 min","20+ min"))))</f>
        <v>10-20 min</v>
      </c>
      <c r="V74" s="17" t="str">
        <f aca="false">IF(WEEKDAY(E74,2)&gt;5,"Weekend","Weekday")</f>
        <v>Weekday</v>
      </c>
    </row>
    <row r="75" customFormat="false" ht="15" hidden="false" customHeight="false" outlineLevel="0" collapsed="false">
      <c r="A75" s="17" t="s">
        <v>263</v>
      </c>
      <c r="B75" s="17" t="s">
        <v>264</v>
      </c>
      <c r="C75" s="17" t="s">
        <v>128</v>
      </c>
      <c r="D75" s="17" t="s">
        <v>121</v>
      </c>
      <c r="E75" s="23" t="n">
        <v>46085</v>
      </c>
      <c r="F75" s="24" t="n">
        <v>0.62</v>
      </c>
      <c r="G75" s="18" t="n">
        <v>892012</v>
      </c>
      <c r="H75" s="18" t="n">
        <v>72816</v>
      </c>
      <c r="I75" s="18" t="n">
        <v>2660</v>
      </c>
      <c r="J75" s="18" t="n">
        <v>194</v>
      </c>
      <c r="K75" s="18" t="n">
        <v>451</v>
      </c>
      <c r="L75" s="25" t="n">
        <v>602.1</v>
      </c>
      <c r="M75" s="18" t="n">
        <v>199</v>
      </c>
      <c r="N75" s="26" t="n">
        <f aca="false">DATE(YEAR(E75),MONTH(E75),1)</f>
        <v>46082</v>
      </c>
      <c r="O75" s="17" t="str">
        <f aca="false">CHOOSE(WEEKDAY(E75,2),"Mon","Tue","Wed","Thu","Fri","Sat","Sun")</f>
        <v>Wed</v>
      </c>
      <c r="P75" s="21" t="n">
        <f aca="false">IFERROR(H75/G75,0)</f>
        <v>0.0816311888180877</v>
      </c>
      <c r="Q75" s="19" t="n">
        <f aca="false">IFERROR((I75+J75+K75)/H75,0)</f>
        <v>0.0453883761810591</v>
      </c>
      <c r="R75" s="27" t="n">
        <f aca="false">IFERROR(L75*60/H75,0)</f>
        <v>0.496127224785761</v>
      </c>
      <c r="S75" s="21" t="n">
        <f aca="false">IFERROR(R75/F75,0)</f>
        <v>0.800205201267357</v>
      </c>
      <c r="T75" s="20" t="n">
        <f aca="false">IFERROR(M75/H75,0)</f>
        <v>0.00273291584267194</v>
      </c>
      <c r="U75" s="17" t="str">
        <f aca="false">IF(F75&lt;1,"Under 1 min",IF(F75&lt;5,"1-5 min",IF(F75&lt;10,"5-10 min",IF(F75&lt;20,"10-20 min","20+ min"))))</f>
        <v>Under 1 min</v>
      </c>
      <c r="V75" s="17" t="str">
        <f aca="false">IF(WEEKDAY(E75,2)&gt;5,"Weekend","Weekday")</f>
        <v>Weekday</v>
      </c>
    </row>
    <row r="76" customFormat="false" ht="15" hidden="false" customHeight="false" outlineLevel="0" collapsed="false">
      <c r="A76" s="17" t="s">
        <v>265</v>
      </c>
      <c r="B76" s="17" t="s">
        <v>266</v>
      </c>
      <c r="C76" s="17" t="s">
        <v>165</v>
      </c>
      <c r="D76" s="17" t="s">
        <v>112</v>
      </c>
      <c r="E76" s="23" t="n">
        <v>46088</v>
      </c>
      <c r="F76" s="24" t="n">
        <v>4</v>
      </c>
      <c r="G76" s="18" t="n">
        <v>195274</v>
      </c>
      <c r="H76" s="18" t="n">
        <v>12205</v>
      </c>
      <c r="I76" s="18" t="n">
        <v>650</v>
      </c>
      <c r="J76" s="18" t="n">
        <v>49</v>
      </c>
      <c r="K76" s="18" t="n">
        <v>61</v>
      </c>
      <c r="L76" s="25" t="n">
        <v>499.9</v>
      </c>
      <c r="M76" s="18" t="n">
        <v>43</v>
      </c>
      <c r="N76" s="26" t="n">
        <f aca="false">DATE(YEAR(E76),MONTH(E76),1)</f>
        <v>46082</v>
      </c>
      <c r="O76" s="17" t="str">
        <f aca="false">CHOOSE(WEEKDAY(E76,2),"Mon","Tue","Wed","Thu","Fri","Sat","Sun")</f>
        <v>Sat</v>
      </c>
      <c r="P76" s="21" t="n">
        <f aca="false">IFERROR(H76/G76,0)</f>
        <v>0.062501920378545</v>
      </c>
      <c r="Q76" s="19" t="n">
        <f aca="false">IFERROR((I76+J76+K76)/H76,0)</f>
        <v>0.0622695616550594</v>
      </c>
      <c r="R76" s="27" t="n">
        <f aca="false">IFERROR(L76*60/H76,0)</f>
        <v>2.45751741089717</v>
      </c>
      <c r="S76" s="21" t="n">
        <f aca="false">IFERROR(R76/F76,0)</f>
        <v>0.614379352724293</v>
      </c>
      <c r="T76" s="20" t="n">
        <f aca="false">IFERROR(M76/H76,0)</f>
        <v>0.00352314625153626</v>
      </c>
      <c r="U76" s="17" t="str">
        <f aca="false">IF(F76&lt;1,"Under 1 min",IF(F76&lt;5,"1-5 min",IF(F76&lt;10,"5-10 min",IF(F76&lt;20,"10-20 min","20+ min"))))</f>
        <v>1-5 min</v>
      </c>
      <c r="V76" s="17" t="str">
        <f aca="false">IF(WEEKDAY(E76,2)&gt;5,"Weekend","Weekday")</f>
        <v>Weekend</v>
      </c>
    </row>
    <row r="77" customFormat="false" ht="15" hidden="false" customHeight="false" outlineLevel="0" collapsed="false">
      <c r="A77" s="17" t="s">
        <v>267</v>
      </c>
      <c r="B77" s="17" t="s">
        <v>268</v>
      </c>
      <c r="C77" s="17" t="s">
        <v>118</v>
      </c>
      <c r="D77" s="17" t="s">
        <v>112</v>
      </c>
      <c r="E77" s="23" t="n">
        <v>46088</v>
      </c>
      <c r="F77" s="24" t="n">
        <v>9.1</v>
      </c>
      <c r="G77" s="18" t="n">
        <v>433795</v>
      </c>
      <c r="H77" s="18" t="n">
        <v>30274</v>
      </c>
      <c r="I77" s="18" t="n">
        <v>1173</v>
      </c>
      <c r="J77" s="18" t="n">
        <v>85</v>
      </c>
      <c r="K77" s="18" t="n">
        <v>91</v>
      </c>
      <c r="L77" s="25" t="n">
        <v>2047.8</v>
      </c>
      <c r="M77" s="18" t="n">
        <v>133</v>
      </c>
      <c r="N77" s="26" t="n">
        <f aca="false">DATE(YEAR(E77),MONTH(E77),1)</f>
        <v>46082</v>
      </c>
      <c r="O77" s="17" t="str">
        <f aca="false">CHOOSE(WEEKDAY(E77,2),"Mon","Tue","Wed","Thu","Fri","Sat","Sun")</f>
        <v>Sat</v>
      </c>
      <c r="P77" s="21" t="n">
        <f aca="false">IFERROR(H77/G77,0)</f>
        <v>0.0697887250890398</v>
      </c>
      <c r="Q77" s="19" t="n">
        <f aca="false">IFERROR((I77+J77+K77)/H77,0)</f>
        <v>0.0445596881812777</v>
      </c>
      <c r="R77" s="27" t="n">
        <f aca="false">IFERROR(L77*60/H77,0)</f>
        <v>4.05853207372663</v>
      </c>
      <c r="S77" s="21" t="n">
        <f aca="false">IFERROR(R77/F77,0)</f>
        <v>0.445992535574355</v>
      </c>
      <c r="T77" s="20" t="n">
        <f aca="false">IFERROR(M77/H77,0)</f>
        <v>0.00439320869392878</v>
      </c>
      <c r="U77" s="17" t="str">
        <f aca="false">IF(F77&lt;1,"Under 1 min",IF(F77&lt;5,"1-5 min",IF(F77&lt;10,"5-10 min",IF(F77&lt;20,"10-20 min","20+ min"))))</f>
        <v>5-10 min</v>
      </c>
      <c r="V77" s="17" t="str">
        <f aca="false">IF(WEEKDAY(E77,2)&gt;5,"Weekend","Weekday")</f>
        <v>Weekend</v>
      </c>
    </row>
    <row r="78" customFormat="false" ht="15" hidden="false" customHeight="false" outlineLevel="0" collapsed="false">
      <c r="A78" s="17" t="s">
        <v>269</v>
      </c>
      <c r="B78" s="17" t="s">
        <v>270</v>
      </c>
      <c r="C78" s="17" t="s">
        <v>118</v>
      </c>
      <c r="D78" s="17" t="s">
        <v>112</v>
      </c>
      <c r="E78" s="23" t="n">
        <v>46089</v>
      </c>
      <c r="F78" s="24" t="n">
        <v>14.2</v>
      </c>
      <c r="G78" s="18" t="n">
        <v>719522</v>
      </c>
      <c r="H78" s="18" t="n">
        <v>62947</v>
      </c>
      <c r="I78" s="18" t="n">
        <v>2755</v>
      </c>
      <c r="J78" s="18" t="n">
        <v>169</v>
      </c>
      <c r="K78" s="18" t="n">
        <v>277</v>
      </c>
      <c r="L78" s="25" t="n">
        <v>7853.5</v>
      </c>
      <c r="M78" s="18" t="n">
        <v>244</v>
      </c>
      <c r="N78" s="26" t="n">
        <f aca="false">DATE(YEAR(E78),MONTH(E78),1)</f>
        <v>46082</v>
      </c>
      <c r="O78" s="17" t="str">
        <f aca="false">CHOOSE(WEEKDAY(E78,2),"Mon","Tue","Wed","Thu","Fri","Sat","Sun")</f>
        <v>Sun</v>
      </c>
      <c r="P78" s="21" t="n">
        <f aca="false">IFERROR(H78/G78,0)</f>
        <v>0.0874844688557125</v>
      </c>
      <c r="Q78" s="19" t="n">
        <f aca="false">IFERROR((I78+J78+K78)/H78,0)</f>
        <v>0.0508523043195069</v>
      </c>
      <c r="R78" s="27" t="n">
        <f aca="false">IFERROR(L78*60/H78,0)</f>
        <v>7.48582140530923</v>
      </c>
      <c r="S78" s="21" t="n">
        <f aca="false">IFERROR(R78/F78,0)</f>
        <v>0.52717052150065</v>
      </c>
      <c r="T78" s="20" t="n">
        <f aca="false">IFERROR(M78/H78,0)</f>
        <v>0.0038762768678412</v>
      </c>
      <c r="U78" s="17" t="str">
        <f aca="false">IF(F78&lt;1,"Under 1 min",IF(F78&lt;5,"1-5 min",IF(F78&lt;10,"5-10 min",IF(F78&lt;20,"10-20 min","20+ min"))))</f>
        <v>10-20 min</v>
      </c>
      <c r="V78" s="17" t="str">
        <f aca="false">IF(WEEKDAY(E78,2)&gt;5,"Weekend","Weekday")</f>
        <v>Weekend</v>
      </c>
    </row>
    <row r="79" customFormat="false" ht="15" hidden="false" customHeight="false" outlineLevel="0" collapsed="false">
      <c r="A79" s="17" t="s">
        <v>271</v>
      </c>
      <c r="B79" s="17" t="s">
        <v>272</v>
      </c>
      <c r="C79" s="17" t="s">
        <v>115</v>
      </c>
      <c r="D79" s="17" t="s">
        <v>112</v>
      </c>
      <c r="E79" s="23" t="n">
        <v>46089</v>
      </c>
      <c r="F79" s="24" t="n">
        <v>7.2</v>
      </c>
      <c r="G79" s="18" t="n">
        <v>597559</v>
      </c>
      <c r="H79" s="18" t="n">
        <v>29561</v>
      </c>
      <c r="I79" s="18" t="n">
        <v>1014</v>
      </c>
      <c r="J79" s="18" t="n">
        <v>85</v>
      </c>
      <c r="K79" s="18" t="n">
        <v>106</v>
      </c>
      <c r="L79" s="25" t="n">
        <v>1799.2</v>
      </c>
      <c r="M79" s="18" t="n">
        <v>186</v>
      </c>
      <c r="N79" s="26" t="n">
        <f aca="false">DATE(YEAR(E79),MONTH(E79),1)</f>
        <v>46082</v>
      </c>
      <c r="O79" s="17" t="str">
        <f aca="false">CHOOSE(WEEKDAY(E79,2),"Mon","Tue","Wed","Thu","Fri","Sat","Sun")</f>
        <v>Sun</v>
      </c>
      <c r="P79" s="21" t="n">
        <f aca="false">IFERROR(H79/G79,0)</f>
        <v>0.0494695921239576</v>
      </c>
      <c r="Q79" s="19" t="n">
        <f aca="false">IFERROR((I79+J79+K79)/H79,0)</f>
        <v>0.0407631676871554</v>
      </c>
      <c r="R79" s="27" t="n">
        <f aca="false">IFERROR(L79*60/H79,0)</f>
        <v>3.65183857109029</v>
      </c>
      <c r="S79" s="21" t="n">
        <f aca="false">IFERROR(R79/F79,0)</f>
        <v>0.507199801540318</v>
      </c>
      <c r="T79" s="20" t="n">
        <f aca="false">IFERROR(M79/H79,0)</f>
        <v>0.00629207401644058</v>
      </c>
      <c r="U79" s="17" t="str">
        <f aca="false">IF(F79&lt;1,"Under 1 min",IF(F79&lt;5,"1-5 min",IF(F79&lt;10,"5-10 min",IF(F79&lt;20,"10-20 min","20+ min"))))</f>
        <v>5-10 min</v>
      </c>
      <c r="V79" s="17" t="str">
        <f aca="false">IF(WEEKDAY(E79,2)&gt;5,"Weekend","Weekday")</f>
        <v>Weekend</v>
      </c>
    </row>
    <row r="80" customFormat="false" ht="15" hidden="false" customHeight="false" outlineLevel="0" collapsed="false">
      <c r="A80" s="17" t="s">
        <v>273</v>
      </c>
      <c r="B80" s="17" t="s">
        <v>274</v>
      </c>
      <c r="C80" s="17" t="s">
        <v>128</v>
      </c>
      <c r="D80" s="17" t="s">
        <v>112</v>
      </c>
      <c r="E80" s="23" t="n">
        <v>46095</v>
      </c>
      <c r="F80" s="24" t="n">
        <v>15.1</v>
      </c>
      <c r="G80" s="18" t="n">
        <v>532122</v>
      </c>
      <c r="H80" s="18" t="n">
        <v>24629</v>
      </c>
      <c r="I80" s="18" t="n">
        <v>899</v>
      </c>
      <c r="J80" s="18" t="n">
        <v>89</v>
      </c>
      <c r="K80" s="18" t="n">
        <v>113</v>
      </c>
      <c r="L80" s="25" t="n">
        <v>2656.6</v>
      </c>
      <c r="M80" s="18" t="n">
        <v>186</v>
      </c>
      <c r="N80" s="26" t="n">
        <f aca="false">DATE(YEAR(E80),MONTH(E80),1)</f>
        <v>46082</v>
      </c>
      <c r="O80" s="17" t="str">
        <f aca="false">CHOOSE(WEEKDAY(E80,2),"Mon","Tue","Wed","Thu","Fri","Sat","Sun")</f>
        <v>Sat</v>
      </c>
      <c r="P80" s="21" t="n">
        <f aca="false">IFERROR(H80/G80,0)</f>
        <v>0.0462844986675988</v>
      </c>
      <c r="Q80" s="19" t="n">
        <f aca="false">IFERROR((I80+J80+K80)/H80,0)</f>
        <v>0.0447033984327419</v>
      </c>
      <c r="R80" s="27" t="n">
        <f aca="false">IFERROR(L80*60/H80,0)</f>
        <v>6.47188273985952</v>
      </c>
      <c r="S80" s="21" t="n">
        <f aca="false">IFERROR(R80/F80,0)</f>
        <v>0.428601505950961</v>
      </c>
      <c r="T80" s="20" t="n">
        <f aca="false">IFERROR(M80/H80,0)</f>
        <v>0.00755207275975476</v>
      </c>
      <c r="U80" s="17" t="str">
        <f aca="false">IF(F80&lt;1,"Under 1 min",IF(F80&lt;5,"1-5 min",IF(F80&lt;10,"5-10 min",IF(F80&lt;20,"10-20 min","20+ min"))))</f>
        <v>10-20 min</v>
      </c>
      <c r="V80" s="17" t="str">
        <f aca="false">IF(WEEKDAY(E80,2)&gt;5,"Weekend","Weekday")</f>
        <v>Weekend</v>
      </c>
    </row>
    <row r="81" customFormat="false" ht="15" hidden="false" customHeight="false" outlineLevel="0" collapsed="false">
      <c r="A81" s="17" t="s">
        <v>275</v>
      </c>
      <c r="B81" s="17" t="s">
        <v>276</v>
      </c>
      <c r="C81" s="17" t="s">
        <v>111</v>
      </c>
      <c r="D81" s="17" t="s">
        <v>112</v>
      </c>
      <c r="E81" s="23" t="n">
        <v>46099</v>
      </c>
      <c r="F81" s="24" t="n">
        <v>12.4</v>
      </c>
      <c r="G81" s="18" t="n">
        <v>492103</v>
      </c>
      <c r="H81" s="18" t="n">
        <v>32762</v>
      </c>
      <c r="I81" s="18" t="n">
        <v>1196</v>
      </c>
      <c r="J81" s="18" t="n">
        <v>86</v>
      </c>
      <c r="K81" s="18" t="n">
        <v>128</v>
      </c>
      <c r="L81" s="25" t="n">
        <v>3585.9</v>
      </c>
      <c r="M81" s="18" t="n">
        <v>244</v>
      </c>
      <c r="N81" s="26" t="n">
        <f aca="false">DATE(YEAR(E81),MONTH(E81),1)</f>
        <v>46082</v>
      </c>
      <c r="O81" s="17" t="str">
        <f aca="false">CHOOSE(WEEKDAY(E81,2),"Mon","Tue","Wed","Thu","Fri","Sat","Sun")</f>
        <v>Wed</v>
      </c>
      <c r="P81" s="21" t="n">
        <f aca="false">IFERROR(H81/G81,0)</f>
        <v>0.066575493341841</v>
      </c>
      <c r="Q81" s="19" t="n">
        <f aca="false">IFERROR((I81+J81+K81)/H81,0)</f>
        <v>0.0430376655881814</v>
      </c>
      <c r="R81" s="27" t="n">
        <f aca="false">IFERROR(L81*60/H81,0)</f>
        <v>6.56718149075148</v>
      </c>
      <c r="S81" s="21" t="n">
        <f aca="false">IFERROR(R81/F81,0)</f>
        <v>0.529611410544474</v>
      </c>
      <c r="T81" s="20" t="n">
        <f aca="false">IFERROR(M81/H81,0)</f>
        <v>0.00744765276845126</v>
      </c>
      <c r="U81" s="17" t="str">
        <f aca="false">IF(F81&lt;1,"Under 1 min",IF(F81&lt;5,"1-5 min",IF(F81&lt;10,"5-10 min",IF(F81&lt;20,"10-20 min","20+ min"))))</f>
        <v>10-20 min</v>
      </c>
      <c r="V81" s="17" t="str">
        <f aca="false">IF(WEEKDAY(E81,2)&gt;5,"Weekend","Weekday")</f>
        <v>Weekday</v>
      </c>
    </row>
    <row r="82" customFormat="false" ht="15" hidden="false" customHeight="false" outlineLevel="0" collapsed="false">
      <c r="A82" s="17" t="s">
        <v>277</v>
      </c>
      <c r="B82" s="17" t="s">
        <v>278</v>
      </c>
      <c r="C82" s="17" t="s">
        <v>128</v>
      </c>
      <c r="D82" s="17" t="s">
        <v>112</v>
      </c>
      <c r="E82" s="23" t="n">
        <v>46104</v>
      </c>
      <c r="F82" s="24" t="n">
        <v>24</v>
      </c>
      <c r="G82" s="18" t="n">
        <v>299137</v>
      </c>
      <c r="H82" s="18" t="n">
        <v>16529</v>
      </c>
      <c r="I82" s="18" t="n">
        <v>587</v>
      </c>
      <c r="J82" s="18" t="n">
        <v>47</v>
      </c>
      <c r="K82" s="18" t="n">
        <v>45</v>
      </c>
      <c r="L82" s="25" t="n">
        <v>1992.8</v>
      </c>
      <c r="M82" s="18" t="n">
        <v>111</v>
      </c>
      <c r="N82" s="26" t="n">
        <f aca="false">DATE(YEAR(E82),MONTH(E82),1)</f>
        <v>46082</v>
      </c>
      <c r="O82" s="17" t="str">
        <f aca="false">CHOOSE(WEEKDAY(E82,2),"Mon","Tue","Wed","Thu","Fri","Sat","Sun")</f>
        <v>Mon</v>
      </c>
      <c r="P82" s="21" t="n">
        <f aca="false">IFERROR(H82/G82,0)</f>
        <v>0.0552556186630206</v>
      </c>
      <c r="Q82" s="19" t="n">
        <f aca="false">IFERROR((I82+J82+K82)/H82,0)</f>
        <v>0.0410793151430819</v>
      </c>
      <c r="R82" s="27" t="n">
        <f aca="false">IFERROR(L82*60/H82,0)</f>
        <v>7.23383144775849</v>
      </c>
      <c r="S82" s="21" t="n">
        <f aca="false">IFERROR(R82/F82,0)</f>
        <v>0.301409643656604</v>
      </c>
      <c r="T82" s="20" t="n">
        <f aca="false">IFERROR(M82/H82,0)</f>
        <v>0.00671546978038599</v>
      </c>
      <c r="U82" s="17" t="str">
        <f aca="false">IF(F82&lt;1,"Under 1 min",IF(F82&lt;5,"1-5 min",IF(F82&lt;10,"5-10 min",IF(F82&lt;20,"10-20 min","20+ min"))))</f>
        <v>20+ min</v>
      </c>
      <c r="V82" s="17" t="str">
        <f aca="false">IF(WEEKDAY(E82,2)&gt;5,"Weekend","Weekday")</f>
        <v>Weekday</v>
      </c>
    </row>
    <row r="83" customFormat="false" ht="15" hidden="false" customHeight="false" outlineLevel="0" collapsed="false">
      <c r="A83" s="17" t="s">
        <v>279</v>
      </c>
      <c r="B83" s="17" t="s">
        <v>280</v>
      </c>
      <c r="C83" s="17" t="s">
        <v>118</v>
      </c>
      <c r="D83" s="17" t="s">
        <v>121</v>
      </c>
      <c r="E83" s="23" t="n">
        <v>46106</v>
      </c>
      <c r="F83" s="24" t="n">
        <v>0.87</v>
      </c>
      <c r="G83" s="18" t="n">
        <v>533465</v>
      </c>
      <c r="H83" s="18" t="n">
        <v>50789</v>
      </c>
      <c r="I83" s="18" t="n">
        <v>1686</v>
      </c>
      <c r="J83" s="18" t="n">
        <v>79</v>
      </c>
      <c r="K83" s="18" t="n">
        <v>324</v>
      </c>
      <c r="L83" s="25" t="n">
        <v>602.9</v>
      </c>
      <c r="M83" s="18" t="n">
        <v>81</v>
      </c>
      <c r="N83" s="26" t="n">
        <f aca="false">DATE(YEAR(E83),MONTH(E83),1)</f>
        <v>46082</v>
      </c>
      <c r="O83" s="17" t="str">
        <f aca="false">CHOOSE(WEEKDAY(E83,2),"Mon","Tue","Wed","Thu","Fri","Sat","Sun")</f>
        <v>Wed</v>
      </c>
      <c r="P83" s="21" t="n">
        <f aca="false">IFERROR(H83/G83,0)</f>
        <v>0.0952058710505844</v>
      </c>
      <c r="Q83" s="19" t="n">
        <f aca="false">IFERROR((I83+J83+K83)/H83,0)</f>
        <v>0.0411309535529347</v>
      </c>
      <c r="R83" s="27" t="n">
        <f aca="false">IFERROR(L83*60/H83,0)</f>
        <v>0.712240839551872</v>
      </c>
      <c r="S83" s="21" t="n">
        <f aca="false">IFERROR(R83/F83,0)</f>
        <v>0.818667631668818</v>
      </c>
      <c r="T83" s="20" t="n">
        <f aca="false">IFERROR(M83/H83,0)</f>
        <v>0.00159483352694481</v>
      </c>
      <c r="U83" s="17" t="str">
        <f aca="false">IF(F83&lt;1,"Under 1 min",IF(F83&lt;5,"1-5 min",IF(F83&lt;10,"5-10 min",IF(F83&lt;20,"10-20 min","20+ min"))))</f>
        <v>Under 1 min</v>
      </c>
      <c r="V83" s="17" t="str">
        <f aca="false">IF(WEEKDAY(E83,2)&gt;5,"Weekend","Weekday")</f>
        <v>Weekday</v>
      </c>
    </row>
    <row r="84" customFormat="false" ht="15" hidden="false" customHeight="false" outlineLevel="0" collapsed="false">
      <c r="A84" s="17" t="s">
        <v>281</v>
      </c>
      <c r="B84" s="17" t="s">
        <v>282</v>
      </c>
      <c r="C84" s="17" t="s">
        <v>128</v>
      </c>
      <c r="D84" s="17" t="s">
        <v>112</v>
      </c>
      <c r="E84" s="23" t="n">
        <v>46107</v>
      </c>
      <c r="F84" s="24" t="n">
        <v>20</v>
      </c>
      <c r="G84" s="18" t="n">
        <v>331123</v>
      </c>
      <c r="H84" s="18" t="n">
        <v>12378</v>
      </c>
      <c r="I84" s="18" t="n">
        <v>473</v>
      </c>
      <c r="J84" s="18" t="n">
        <v>37</v>
      </c>
      <c r="K84" s="18" t="n">
        <v>71</v>
      </c>
      <c r="L84" s="25" t="n">
        <v>1544.9</v>
      </c>
      <c r="M84" s="18" t="n">
        <v>70</v>
      </c>
      <c r="N84" s="26" t="n">
        <f aca="false">DATE(YEAR(E84),MONTH(E84),1)</f>
        <v>46082</v>
      </c>
      <c r="O84" s="17" t="str">
        <f aca="false">CHOOSE(WEEKDAY(E84,2),"Mon","Tue","Wed","Thu","Fri","Sat","Sun")</f>
        <v>Thu</v>
      </c>
      <c r="P84" s="21" t="n">
        <f aca="false">IFERROR(H84/G84,0)</f>
        <v>0.0373818792412487</v>
      </c>
      <c r="Q84" s="19" t="n">
        <f aca="false">IFERROR((I84+J84+K84)/H84,0)</f>
        <v>0.0469381160122799</v>
      </c>
      <c r="R84" s="27" t="n">
        <f aca="false">IFERROR(L84*60/H84,0)</f>
        <v>7.48860882210373</v>
      </c>
      <c r="S84" s="21" t="n">
        <f aca="false">IFERROR(R84/F84,0)</f>
        <v>0.374430441105187</v>
      </c>
      <c r="T84" s="20" t="n">
        <f aca="false">IFERROR(M84/H84,0)</f>
        <v>0.00565519470027468</v>
      </c>
      <c r="U84" s="17" t="str">
        <f aca="false">IF(F84&lt;1,"Under 1 min",IF(F84&lt;5,"1-5 min",IF(F84&lt;10,"5-10 min",IF(F84&lt;20,"10-20 min","20+ min"))))</f>
        <v>20+ min</v>
      </c>
      <c r="V84" s="17" t="str">
        <f aca="false">IF(WEEKDAY(E84,2)&gt;5,"Weekend","Weekday")</f>
        <v>Weekday</v>
      </c>
    </row>
    <row r="85" customFormat="false" ht="15" hidden="false" customHeight="false" outlineLevel="0" collapsed="false">
      <c r="A85" s="17" t="s">
        <v>283</v>
      </c>
      <c r="B85" s="17" t="s">
        <v>284</v>
      </c>
      <c r="C85" s="17" t="s">
        <v>118</v>
      </c>
      <c r="D85" s="17" t="s">
        <v>121</v>
      </c>
      <c r="E85" s="23" t="n">
        <v>46111</v>
      </c>
      <c r="F85" s="24" t="n">
        <v>0.88</v>
      </c>
      <c r="G85" s="18" t="n">
        <v>985548</v>
      </c>
      <c r="H85" s="18" t="n">
        <v>99834</v>
      </c>
      <c r="I85" s="18" t="n">
        <v>3193</v>
      </c>
      <c r="J85" s="18" t="n">
        <v>29</v>
      </c>
      <c r="K85" s="18" t="n">
        <v>667</v>
      </c>
      <c r="L85" s="25" t="n">
        <v>1194.8</v>
      </c>
      <c r="M85" s="18" t="n">
        <v>135</v>
      </c>
      <c r="N85" s="26" t="n">
        <f aca="false">DATE(YEAR(E85),MONTH(E85),1)</f>
        <v>46082</v>
      </c>
      <c r="O85" s="17" t="str">
        <f aca="false">CHOOSE(WEEKDAY(E85,2),"Mon","Tue","Wed","Thu","Fri","Sat","Sun")</f>
        <v>Mon</v>
      </c>
      <c r="P85" s="21" t="n">
        <f aca="false">IFERROR(H85/G85,0)</f>
        <v>0.101297958090321</v>
      </c>
      <c r="Q85" s="19" t="n">
        <f aca="false">IFERROR((I85+J85+K85)/H85,0)</f>
        <v>0.0389546647434742</v>
      </c>
      <c r="R85" s="27" t="n">
        <f aca="false">IFERROR(L85*60/H85,0)</f>
        <v>0.718071999519202</v>
      </c>
      <c r="S85" s="21" t="n">
        <f aca="false">IFERROR(R85/F85,0)</f>
        <v>0.815990908544548</v>
      </c>
      <c r="T85" s="20" t="n">
        <f aca="false">IFERROR(M85/H85,0)</f>
        <v>0.00135224472624557</v>
      </c>
      <c r="U85" s="17" t="str">
        <f aca="false">IF(F85&lt;1,"Under 1 min",IF(F85&lt;5,"1-5 min",IF(F85&lt;10,"5-10 min",IF(F85&lt;20,"10-20 min","20+ min"))))</f>
        <v>Under 1 min</v>
      </c>
      <c r="V85" s="17" t="str">
        <f aca="false">IF(WEEKDAY(E85,2)&gt;5,"Weekend","Weekday")</f>
        <v>Weekday</v>
      </c>
    </row>
    <row r="86" customFormat="false" ht="15" hidden="false" customHeight="false" outlineLevel="0" collapsed="false">
      <c r="A86" s="17" t="s">
        <v>285</v>
      </c>
      <c r="B86" s="17" t="s">
        <v>286</v>
      </c>
      <c r="C86" s="17" t="s">
        <v>118</v>
      </c>
      <c r="D86" s="17" t="s">
        <v>121</v>
      </c>
      <c r="E86" s="23" t="n">
        <v>46113</v>
      </c>
      <c r="F86" s="24" t="n">
        <v>0.36</v>
      </c>
      <c r="G86" s="18" t="n">
        <v>814099</v>
      </c>
      <c r="H86" s="18" t="n">
        <v>61690</v>
      </c>
      <c r="I86" s="18" t="n">
        <v>2053</v>
      </c>
      <c r="J86" s="18" t="n">
        <v>229</v>
      </c>
      <c r="K86" s="18" t="n">
        <v>419</v>
      </c>
      <c r="L86" s="25" t="n">
        <v>285.1</v>
      </c>
      <c r="M86" s="18" t="n">
        <v>64</v>
      </c>
      <c r="N86" s="26" t="n">
        <f aca="false">DATE(YEAR(E86),MONTH(E86),1)</f>
        <v>46113</v>
      </c>
      <c r="O86" s="17" t="str">
        <f aca="false">CHOOSE(WEEKDAY(E86,2),"Mon","Tue","Wed","Thu","Fri","Sat","Sun")</f>
        <v>Wed</v>
      </c>
      <c r="P86" s="21" t="n">
        <f aca="false">IFERROR(H86/G86,0)</f>
        <v>0.0757770246616198</v>
      </c>
      <c r="Q86" s="19" t="n">
        <f aca="false">IFERROR((I86+J86+K86)/H86,0)</f>
        <v>0.0437834332955098</v>
      </c>
      <c r="R86" s="27" t="n">
        <f aca="false">IFERROR(L86*60/H86,0)</f>
        <v>0.277289674177338</v>
      </c>
      <c r="S86" s="21" t="n">
        <f aca="false">IFERROR(R86/F86,0)</f>
        <v>0.770249094937051</v>
      </c>
      <c r="T86" s="20" t="n">
        <f aca="false">IFERROR(M86/H86,0)</f>
        <v>0.00103744529097098</v>
      </c>
      <c r="U86" s="17" t="str">
        <f aca="false">IF(F86&lt;1,"Under 1 min",IF(F86&lt;5,"1-5 min",IF(F86&lt;10,"5-10 min",IF(F86&lt;20,"10-20 min","20+ min"))))</f>
        <v>Under 1 min</v>
      </c>
      <c r="V86" s="17" t="str">
        <f aca="false">IF(WEEKDAY(E86,2)&gt;5,"Weekend","Weekday")</f>
        <v>Weekday</v>
      </c>
    </row>
    <row r="87" customFormat="false" ht="15" hidden="false" customHeight="false" outlineLevel="0" collapsed="false">
      <c r="A87" s="17" t="s">
        <v>287</v>
      </c>
      <c r="B87" s="17" t="s">
        <v>288</v>
      </c>
      <c r="C87" s="17" t="s">
        <v>111</v>
      </c>
      <c r="D87" s="17" t="s">
        <v>121</v>
      </c>
      <c r="E87" s="23" t="n">
        <v>46114</v>
      </c>
      <c r="F87" s="24" t="n">
        <v>0.93</v>
      </c>
      <c r="G87" s="18" t="n">
        <v>648168</v>
      </c>
      <c r="H87" s="18" t="n">
        <v>66464</v>
      </c>
      <c r="I87" s="18" t="n">
        <v>2422</v>
      </c>
      <c r="J87" s="18" t="n">
        <v>65</v>
      </c>
      <c r="K87" s="18" t="n">
        <v>355</v>
      </c>
      <c r="L87" s="25" t="n">
        <v>757.7</v>
      </c>
      <c r="M87" s="18" t="n">
        <v>107</v>
      </c>
      <c r="N87" s="26" t="n">
        <f aca="false">DATE(YEAR(E87),MONTH(E87),1)</f>
        <v>46113</v>
      </c>
      <c r="O87" s="17" t="str">
        <f aca="false">CHOOSE(WEEKDAY(E87,2),"Mon","Tue","Wed","Thu","Fri","Sat","Sun")</f>
        <v>Thu</v>
      </c>
      <c r="P87" s="21" t="n">
        <f aca="false">IFERROR(H87/G87,0)</f>
        <v>0.102541316448822</v>
      </c>
      <c r="Q87" s="19" t="n">
        <f aca="false">IFERROR((I87+J87+K87)/H87,0)</f>
        <v>0.042759990370727</v>
      </c>
      <c r="R87" s="27" t="n">
        <f aca="false">IFERROR(L87*60/H87,0)</f>
        <v>0.684009388541165</v>
      </c>
      <c r="S87" s="21" t="n">
        <f aca="false">IFERROR(R87/F87,0)</f>
        <v>0.735493966173296</v>
      </c>
      <c r="T87" s="20" t="n">
        <f aca="false">IFERROR(M87/H87,0)</f>
        <v>0.00160989407799711</v>
      </c>
      <c r="U87" s="17" t="str">
        <f aca="false">IF(F87&lt;1,"Under 1 min",IF(F87&lt;5,"1-5 min",IF(F87&lt;10,"5-10 min",IF(F87&lt;20,"10-20 min","20+ min"))))</f>
        <v>Under 1 min</v>
      </c>
      <c r="V87" s="17" t="str">
        <f aca="false">IF(WEEKDAY(E87,2)&gt;5,"Weekend","Weekday")</f>
        <v>Weekday</v>
      </c>
    </row>
    <row r="88" customFormat="false" ht="15" hidden="false" customHeight="false" outlineLevel="0" collapsed="false">
      <c r="A88" s="17" t="s">
        <v>289</v>
      </c>
      <c r="B88" s="17" t="s">
        <v>290</v>
      </c>
      <c r="C88" s="17" t="s">
        <v>118</v>
      </c>
      <c r="D88" s="17" t="s">
        <v>112</v>
      </c>
      <c r="E88" s="23" t="n">
        <v>46117</v>
      </c>
      <c r="F88" s="24" t="n">
        <v>10.3</v>
      </c>
      <c r="G88" s="18" t="n">
        <v>588179</v>
      </c>
      <c r="H88" s="18" t="n">
        <v>43481</v>
      </c>
      <c r="I88" s="18" t="n">
        <v>1803</v>
      </c>
      <c r="J88" s="18" t="n">
        <v>126</v>
      </c>
      <c r="K88" s="18" t="n">
        <v>240</v>
      </c>
      <c r="L88" s="25" t="n">
        <v>3272.6</v>
      </c>
      <c r="M88" s="18" t="n">
        <v>170</v>
      </c>
      <c r="N88" s="26" t="n">
        <f aca="false">DATE(YEAR(E88),MONTH(E88),1)</f>
        <v>46113</v>
      </c>
      <c r="O88" s="17" t="str">
        <f aca="false">CHOOSE(WEEKDAY(E88,2),"Mon","Tue","Wed","Thu","Fri","Sat","Sun")</f>
        <v>Sun</v>
      </c>
      <c r="P88" s="21" t="n">
        <f aca="false">IFERROR(H88/G88,0)</f>
        <v>0.0739247746009293</v>
      </c>
      <c r="Q88" s="19" t="n">
        <f aca="false">IFERROR((I88+J88+K88)/H88,0)</f>
        <v>0.049883857316989</v>
      </c>
      <c r="R88" s="27" t="n">
        <f aca="false">IFERROR(L88*60/H88,0)</f>
        <v>4.51590349807962</v>
      </c>
      <c r="S88" s="21" t="n">
        <f aca="false">IFERROR(R88/F88,0)</f>
        <v>0.438437232823264</v>
      </c>
      <c r="T88" s="20" t="n">
        <f aca="false">IFERROR(M88/H88,0)</f>
        <v>0.00390975368551781</v>
      </c>
      <c r="U88" s="17" t="str">
        <f aca="false">IF(F88&lt;1,"Under 1 min",IF(F88&lt;5,"1-5 min",IF(F88&lt;10,"5-10 min",IF(F88&lt;20,"10-20 min","20+ min"))))</f>
        <v>10-20 min</v>
      </c>
      <c r="V88" s="17" t="str">
        <f aca="false">IF(WEEKDAY(E88,2)&gt;5,"Weekend","Weekday")</f>
        <v>Weekend</v>
      </c>
    </row>
    <row r="89" customFormat="false" ht="15" hidden="false" customHeight="false" outlineLevel="0" collapsed="false">
      <c r="A89" s="17" t="s">
        <v>291</v>
      </c>
      <c r="B89" s="17" t="s">
        <v>292</v>
      </c>
      <c r="C89" s="17" t="s">
        <v>111</v>
      </c>
      <c r="D89" s="17" t="s">
        <v>112</v>
      </c>
      <c r="E89" s="23" t="n">
        <v>46121</v>
      </c>
      <c r="F89" s="24" t="n">
        <v>19.6</v>
      </c>
      <c r="G89" s="18" t="n">
        <v>546276</v>
      </c>
      <c r="H89" s="18" t="n">
        <v>19027</v>
      </c>
      <c r="I89" s="18" t="n">
        <v>780</v>
      </c>
      <c r="J89" s="18" t="n">
        <v>95</v>
      </c>
      <c r="K89" s="18" t="n">
        <v>111</v>
      </c>
      <c r="L89" s="25" t="n">
        <v>2217</v>
      </c>
      <c r="M89" s="18" t="n">
        <v>108</v>
      </c>
      <c r="N89" s="26" t="n">
        <f aca="false">DATE(YEAR(E89),MONTH(E89),1)</f>
        <v>46113</v>
      </c>
      <c r="O89" s="17" t="str">
        <f aca="false">CHOOSE(WEEKDAY(E89,2),"Mon","Tue","Wed","Thu","Fri","Sat","Sun")</f>
        <v>Thu</v>
      </c>
      <c r="P89" s="21" t="n">
        <f aca="false">IFERROR(H89/G89,0)</f>
        <v>0.0348303787828863</v>
      </c>
      <c r="Q89" s="19" t="n">
        <f aca="false">IFERROR((I89+J89+K89)/H89,0)</f>
        <v>0.0518210963367846</v>
      </c>
      <c r="R89" s="27" t="n">
        <f aca="false">IFERROR(L89*60/H89,0)</f>
        <v>6.99111788511063</v>
      </c>
      <c r="S89" s="21" t="n">
        <f aca="false">IFERROR(R89/F89,0)</f>
        <v>0.356689688015849</v>
      </c>
      <c r="T89" s="20" t="n">
        <f aca="false">IFERROR(M89/H89,0)</f>
        <v>0.00567614442634151</v>
      </c>
      <c r="U89" s="17" t="str">
        <f aca="false">IF(F89&lt;1,"Under 1 min",IF(F89&lt;5,"1-5 min",IF(F89&lt;10,"5-10 min",IF(F89&lt;20,"10-20 min","20+ min"))))</f>
        <v>10-20 min</v>
      </c>
      <c r="V89" s="17" t="str">
        <f aca="false">IF(WEEKDAY(E89,2)&gt;5,"Weekend","Weekday")</f>
        <v>Weekday</v>
      </c>
    </row>
    <row r="90" customFormat="false" ht="15" hidden="false" customHeight="false" outlineLevel="0" collapsed="false">
      <c r="A90" s="17" t="s">
        <v>293</v>
      </c>
      <c r="B90" s="17" t="s">
        <v>294</v>
      </c>
      <c r="C90" s="17" t="s">
        <v>111</v>
      </c>
      <c r="D90" s="17" t="s">
        <v>112</v>
      </c>
      <c r="E90" s="23" t="n">
        <v>46122</v>
      </c>
      <c r="F90" s="24" t="n">
        <v>16.4</v>
      </c>
      <c r="G90" s="18" t="n">
        <v>670047</v>
      </c>
      <c r="H90" s="18" t="n">
        <v>40780</v>
      </c>
      <c r="I90" s="18" t="n">
        <v>1581</v>
      </c>
      <c r="J90" s="18" t="n">
        <v>109</v>
      </c>
      <c r="K90" s="18" t="n">
        <v>221</v>
      </c>
      <c r="L90" s="25" t="n">
        <v>4223.9</v>
      </c>
      <c r="M90" s="18" t="n">
        <v>240</v>
      </c>
      <c r="N90" s="26" t="n">
        <f aca="false">DATE(YEAR(E90),MONTH(E90),1)</f>
        <v>46113</v>
      </c>
      <c r="O90" s="17" t="str">
        <f aca="false">CHOOSE(WEEKDAY(E90,2),"Mon","Tue","Wed","Thu","Fri","Sat","Sun")</f>
        <v>Fri</v>
      </c>
      <c r="P90" s="21" t="n">
        <f aca="false">IFERROR(H90/G90,0)</f>
        <v>0.0608614022598415</v>
      </c>
      <c r="Q90" s="19" t="n">
        <f aca="false">IFERROR((I90+J90+K90)/H90,0)</f>
        <v>0.0468612064737617</v>
      </c>
      <c r="R90" s="27" t="n">
        <f aca="false">IFERROR(L90*60/H90,0)</f>
        <v>6.21466405100539</v>
      </c>
      <c r="S90" s="21" t="n">
        <f aca="false">IFERROR(R90/F90,0)</f>
        <v>0.378942929939353</v>
      </c>
      <c r="T90" s="20" t="n">
        <f aca="false">IFERROR(M90/H90,0)</f>
        <v>0.00588523786169691</v>
      </c>
      <c r="U90" s="17" t="str">
        <f aca="false">IF(F90&lt;1,"Under 1 min",IF(F90&lt;5,"1-5 min",IF(F90&lt;10,"5-10 min",IF(F90&lt;20,"10-20 min","20+ min"))))</f>
        <v>10-20 min</v>
      </c>
      <c r="V90" s="17" t="str">
        <f aca="false">IF(WEEKDAY(E90,2)&gt;5,"Weekend","Weekday")</f>
        <v>Weekday</v>
      </c>
    </row>
    <row r="91" customFormat="false" ht="15" hidden="false" customHeight="false" outlineLevel="0" collapsed="false">
      <c r="A91" s="17" t="s">
        <v>295</v>
      </c>
      <c r="B91" s="17" t="s">
        <v>296</v>
      </c>
      <c r="C91" s="17" t="s">
        <v>118</v>
      </c>
      <c r="D91" s="17" t="s">
        <v>112</v>
      </c>
      <c r="E91" s="23" t="n">
        <v>46122</v>
      </c>
      <c r="F91" s="24" t="n">
        <v>11.3</v>
      </c>
      <c r="G91" s="18" t="n">
        <v>703556</v>
      </c>
      <c r="H91" s="18" t="n">
        <v>37052</v>
      </c>
      <c r="I91" s="18" t="n">
        <v>1409</v>
      </c>
      <c r="J91" s="18" t="n">
        <v>133</v>
      </c>
      <c r="K91" s="18" t="n">
        <v>177</v>
      </c>
      <c r="L91" s="25" t="n">
        <v>2543.9</v>
      </c>
      <c r="M91" s="18" t="n">
        <v>143</v>
      </c>
      <c r="N91" s="26" t="n">
        <f aca="false">DATE(YEAR(E91),MONTH(E91),1)</f>
        <v>46113</v>
      </c>
      <c r="O91" s="17" t="str">
        <f aca="false">CHOOSE(WEEKDAY(E91,2),"Mon","Tue","Wed","Thu","Fri","Sat","Sun")</f>
        <v>Fri</v>
      </c>
      <c r="P91" s="21" t="n">
        <f aca="false">IFERROR(H91/G91,0)</f>
        <v>0.0526638959798509</v>
      </c>
      <c r="Q91" s="19" t="n">
        <f aca="false">IFERROR((I91+J91+K91)/H91,0)</f>
        <v>0.046394256720285</v>
      </c>
      <c r="R91" s="27" t="n">
        <f aca="false">IFERROR(L91*60/H91,0)</f>
        <v>4.11945374068876</v>
      </c>
      <c r="S91" s="21" t="n">
        <f aca="false">IFERROR(R91/F91,0)</f>
        <v>0.364553428379536</v>
      </c>
      <c r="T91" s="20" t="n">
        <f aca="false">IFERROR(M91/H91,0)</f>
        <v>0.00385944078592249</v>
      </c>
      <c r="U91" s="17" t="str">
        <f aca="false">IF(F91&lt;1,"Under 1 min",IF(F91&lt;5,"1-5 min",IF(F91&lt;10,"5-10 min",IF(F91&lt;20,"10-20 min","20+ min"))))</f>
        <v>10-20 min</v>
      </c>
      <c r="V91" s="17" t="str">
        <f aca="false">IF(WEEKDAY(E91,2)&gt;5,"Weekend","Weekday")</f>
        <v>Weekday</v>
      </c>
    </row>
    <row r="92" customFormat="false" ht="15" hidden="false" customHeight="false" outlineLevel="0" collapsed="false">
      <c r="A92" s="17" t="s">
        <v>297</v>
      </c>
      <c r="B92" s="17" t="s">
        <v>298</v>
      </c>
      <c r="C92" s="17" t="s">
        <v>111</v>
      </c>
      <c r="D92" s="17" t="s">
        <v>112</v>
      </c>
      <c r="E92" s="23" t="n">
        <v>46122</v>
      </c>
      <c r="F92" s="24" t="n">
        <v>20.2</v>
      </c>
      <c r="G92" s="18" t="n">
        <v>526008</v>
      </c>
      <c r="H92" s="18" t="n">
        <v>22802</v>
      </c>
      <c r="I92" s="18" t="n">
        <v>1041</v>
      </c>
      <c r="J92" s="18" t="n">
        <v>80</v>
      </c>
      <c r="K92" s="18" t="n">
        <v>81</v>
      </c>
      <c r="L92" s="25" t="n">
        <v>2884.4</v>
      </c>
      <c r="M92" s="18" t="n">
        <v>130</v>
      </c>
      <c r="N92" s="26" t="n">
        <f aca="false">DATE(YEAR(E92),MONTH(E92),1)</f>
        <v>46113</v>
      </c>
      <c r="O92" s="17" t="str">
        <f aca="false">CHOOSE(WEEKDAY(E92,2),"Mon","Tue","Wed","Thu","Fri","Sat","Sun")</f>
        <v>Fri</v>
      </c>
      <c r="P92" s="21" t="n">
        <f aca="false">IFERROR(H92/G92,0)</f>
        <v>0.0433491505832611</v>
      </c>
      <c r="Q92" s="19" t="n">
        <f aca="false">IFERROR((I92+J92+K92)/H92,0)</f>
        <v>0.0527146741513902</v>
      </c>
      <c r="R92" s="27" t="n">
        <f aca="false">IFERROR(L92*60/H92,0)</f>
        <v>7.58986053854925</v>
      </c>
      <c r="S92" s="21" t="n">
        <f aca="false">IFERROR(R92/F92,0)</f>
        <v>0.37573567022521</v>
      </c>
      <c r="T92" s="20" t="n">
        <f aca="false">IFERROR(M92/H92,0)</f>
        <v>0.00570125427594071</v>
      </c>
      <c r="U92" s="17" t="str">
        <f aca="false">IF(F92&lt;1,"Under 1 min",IF(F92&lt;5,"1-5 min",IF(F92&lt;10,"5-10 min",IF(F92&lt;20,"10-20 min","20+ min"))))</f>
        <v>20+ min</v>
      </c>
      <c r="V92" s="17" t="str">
        <f aca="false">IF(WEEKDAY(E92,2)&gt;5,"Weekend","Weekday")</f>
        <v>Weekday</v>
      </c>
    </row>
    <row r="93" customFormat="false" ht="15" hidden="false" customHeight="false" outlineLevel="0" collapsed="false">
      <c r="A93" s="17" t="s">
        <v>299</v>
      </c>
      <c r="B93" s="17" t="s">
        <v>300</v>
      </c>
      <c r="C93" s="17" t="s">
        <v>118</v>
      </c>
      <c r="D93" s="17" t="s">
        <v>112</v>
      </c>
      <c r="E93" s="23" t="n">
        <v>46125</v>
      </c>
      <c r="F93" s="24" t="n">
        <v>19.3</v>
      </c>
      <c r="G93" s="18" t="n">
        <v>165514</v>
      </c>
      <c r="H93" s="18" t="n">
        <v>10579</v>
      </c>
      <c r="I93" s="18" t="n">
        <v>482</v>
      </c>
      <c r="J93" s="18" t="n">
        <v>33</v>
      </c>
      <c r="K93" s="18" t="n">
        <v>37</v>
      </c>
      <c r="L93" s="25" t="n">
        <v>1085.8</v>
      </c>
      <c r="M93" s="18" t="n">
        <v>57</v>
      </c>
      <c r="N93" s="26" t="n">
        <f aca="false">DATE(YEAR(E93),MONTH(E93),1)</f>
        <v>46113</v>
      </c>
      <c r="O93" s="17" t="str">
        <f aca="false">CHOOSE(WEEKDAY(E93,2),"Mon","Tue","Wed","Thu","Fri","Sat","Sun")</f>
        <v>Mon</v>
      </c>
      <c r="P93" s="21" t="n">
        <f aca="false">IFERROR(H93/G93,0)</f>
        <v>0.0639160433558491</v>
      </c>
      <c r="Q93" s="19" t="n">
        <f aca="false">IFERROR((I93+J93+K93)/H93,0)</f>
        <v>0.0521788448813688</v>
      </c>
      <c r="R93" s="27" t="n">
        <f aca="false">IFERROR(L93*60/H93,0)</f>
        <v>6.15823801871632</v>
      </c>
      <c r="S93" s="21" t="n">
        <f aca="false">IFERROR(R93/F93,0)</f>
        <v>0.319079690088929</v>
      </c>
      <c r="T93" s="20" t="n">
        <f aca="false">IFERROR(M93/H93,0)</f>
        <v>0.00538803289535873</v>
      </c>
      <c r="U93" s="17" t="str">
        <f aca="false">IF(F93&lt;1,"Under 1 min",IF(F93&lt;5,"1-5 min",IF(F93&lt;10,"5-10 min",IF(F93&lt;20,"10-20 min","20+ min"))))</f>
        <v>10-20 min</v>
      </c>
      <c r="V93" s="17" t="str">
        <f aca="false">IF(WEEKDAY(E93,2)&gt;5,"Weekend","Weekday")</f>
        <v>Weekday</v>
      </c>
    </row>
    <row r="94" customFormat="false" ht="15" hidden="false" customHeight="false" outlineLevel="0" collapsed="false">
      <c r="A94" s="17" t="s">
        <v>301</v>
      </c>
      <c r="B94" s="17" t="s">
        <v>302</v>
      </c>
      <c r="C94" s="17" t="s">
        <v>165</v>
      </c>
      <c r="D94" s="17" t="s">
        <v>112</v>
      </c>
      <c r="E94" s="23" t="n">
        <v>46126</v>
      </c>
      <c r="F94" s="24" t="n">
        <v>4</v>
      </c>
      <c r="G94" s="18" t="n">
        <v>106098</v>
      </c>
      <c r="H94" s="18" t="n">
        <v>4744</v>
      </c>
      <c r="I94" s="18" t="n">
        <v>284</v>
      </c>
      <c r="J94" s="18" t="n">
        <v>14</v>
      </c>
      <c r="K94" s="18" t="n">
        <v>20</v>
      </c>
      <c r="L94" s="25" t="n">
        <v>135.4</v>
      </c>
      <c r="M94" s="18" t="n">
        <v>8</v>
      </c>
      <c r="N94" s="26" t="n">
        <f aca="false">DATE(YEAR(E94),MONTH(E94),1)</f>
        <v>46113</v>
      </c>
      <c r="O94" s="17" t="str">
        <f aca="false">CHOOSE(WEEKDAY(E94,2),"Mon","Tue","Wed","Thu","Fri","Sat","Sun")</f>
        <v>Tue</v>
      </c>
      <c r="P94" s="21" t="n">
        <f aca="false">IFERROR(H94/G94,0)</f>
        <v>0.0447133781975155</v>
      </c>
      <c r="Q94" s="19" t="n">
        <f aca="false">IFERROR((I94+J94+K94)/H94,0)</f>
        <v>0.0670320404721754</v>
      </c>
      <c r="R94" s="27" t="n">
        <f aca="false">IFERROR(L94*60/H94,0)</f>
        <v>1.71247892074199</v>
      </c>
      <c r="S94" s="21" t="n">
        <f aca="false">IFERROR(R94/F94,0)</f>
        <v>0.428119730185498</v>
      </c>
      <c r="T94" s="20" t="n">
        <f aca="false">IFERROR(M94/H94,0)</f>
        <v>0.00168634064080944</v>
      </c>
      <c r="U94" s="17" t="str">
        <f aca="false">IF(F94&lt;1,"Under 1 min",IF(F94&lt;5,"1-5 min",IF(F94&lt;10,"5-10 min",IF(F94&lt;20,"10-20 min","20+ min"))))</f>
        <v>1-5 min</v>
      </c>
      <c r="V94" s="17" t="str">
        <f aca="false">IF(WEEKDAY(E94,2)&gt;5,"Weekend","Weekday")</f>
        <v>Weekday</v>
      </c>
    </row>
    <row r="95" customFormat="false" ht="15" hidden="false" customHeight="false" outlineLevel="0" collapsed="false">
      <c r="A95" s="17" t="s">
        <v>303</v>
      </c>
      <c r="B95" s="17" t="s">
        <v>304</v>
      </c>
      <c r="C95" s="17" t="s">
        <v>118</v>
      </c>
      <c r="D95" s="17" t="s">
        <v>112</v>
      </c>
      <c r="E95" s="23" t="n">
        <v>46127</v>
      </c>
      <c r="F95" s="24" t="n">
        <v>5.2</v>
      </c>
      <c r="G95" s="18" t="n">
        <v>386373</v>
      </c>
      <c r="H95" s="18" t="n">
        <v>28677</v>
      </c>
      <c r="I95" s="18" t="n">
        <v>1185</v>
      </c>
      <c r="J95" s="18" t="n">
        <v>91</v>
      </c>
      <c r="K95" s="18" t="n">
        <v>108</v>
      </c>
      <c r="L95" s="25" t="n">
        <v>1310.4</v>
      </c>
      <c r="M95" s="18" t="n">
        <v>100</v>
      </c>
      <c r="N95" s="26" t="n">
        <f aca="false">DATE(YEAR(E95),MONTH(E95),1)</f>
        <v>46113</v>
      </c>
      <c r="O95" s="17" t="str">
        <f aca="false">CHOOSE(WEEKDAY(E95,2),"Mon","Tue","Wed","Thu","Fri","Sat","Sun")</f>
        <v>Wed</v>
      </c>
      <c r="P95" s="21" t="n">
        <f aca="false">IFERROR(H95/G95,0)</f>
        <v>0.074221024761047</v>
      </c>
      <c r="Q95" s="19" t="n">
        <f aca="false">IFERROR((I95+J95+K95)/H95,0)</f>
        <v>0.0482616731178296</v>
      </c>
      <c r="R95" s="27" t="n">
        <f aca="false">IFERROR(L95*60/H95,0)</f>
        <v>2.74170938382676</v>
      </c>
      <c r="S95" s="21" t="n">
        <f aca="false">IFERROR(R95/F95,0)</f>
        <v>0.527251804582069</v>
      </c>
      <c r="T95" s="20" t="n">
        <f aca="false">IFERROR(M95/H95,0)</f>
        <v>0.00348711510966977</v>
      </c>
      <c r="U95" s="17" t="str">
        <f aca="false">IF(F95&lt;1,"Under 1 min",IF(F95&lt;5,"1-5 min",IF(F95&lt;10,"5-10 min",IF(F95&lt;20,"10-20 min","20+ min"))))</f>
        <v>5-10 min</v>
      </c>
      <c r="V95" s="17" t="str">
        <f aca="false">IF(WEEKDAY(E95,2)&gt;5,"Weekend","Weekday")</f>
        <v>Weekday</v>
      </c>
    </row>
    <row r="96" customFormat="false" ht="15" hidden="false" customHeight="false" outlineLevel="0" collapsed="false">
      <c r="A96" s="17" t="s">
        <v>305</v>
      </c>
      <c r="B96" s="17" t="s">
        <v>306</v>
      </c>
      <c r="C96" s="17" t="s">
        <v>115</v>
      </c>
      <c r="D96" s="17" t="s">
        <v>121</v>
      </c>
      <c r="E96" s="23" t="n">
        <v>46130</v>
      </c>
      <c r="F96" s="24" t="n">
        <v>0.47</v>
      </c>
      <c r="G96" s="18" t="n">
        <v>1300268</v>
      </c>
      <c r="H96" s="18" t="n">
        <v>78870</v>
      </c>
      <c r="I96" s="18" t="n">
        <v>3120</v>
      </c>
      <c r="J96" s="18" t="n">
        <v>162</v>
      </c>
      <c r="K96" s="18" t="n">
        <v>474</v>
      </c>
      <c r="L96" s="25" t="n">
        <v>563</v>
      </c>
      <c r="M96" s="18" t="n">
        <v>127</v>
      </c>
      <c r="N96" s="26" t="n">
        <f aca="false">DATE(YEAR(E96),MONTH(E96),1)</f>
        <v>46113</v>
      </c>
      <c r="O96" s="17" t="str">
        <f aca="false">CHOOSE(WEEKDAY(E96,2),"Mon","Tue","Wed","Thu","Fri","Sat","Sun")</f>
        <v>Sat</v>
      </c>
      <c r="P96" s="21" t="n">
        <f aca="false">IFERROR(H96/G96,0)</f>
        <v>0.0606567261518395</v>
      </c>
      <c r="Q96" s="19" t="n">
        <f aca="false">IFERROR((I96+J96+K96)/H96,0)</f>
        <v>0.0476226702168125</v>
      </c>
      <c r="R96" s="27" t="n">
        <f aca="false">IFERROR(L96*60/H96,0)</f>
        <v>0.428299733739064</v>
      </c>
      <c r="S96" s="21" t="n">
        <f aca="false">IFERROR(R96/F96,0)</f>
        <v>0.911276029232052</v>
      </c>
      <c r="T96" s="20" t="n">
        <f aca="false">IFERROR(M96/H96,0)</f>
        <v>0.00161024470647902</v>
      </c>
      <c r="U96" s="17" t="str">
        <f aca="false">IF(F96&lt;1,"Under 1 min",IF(F96&lt;5,"1-5 min",IF(F96&lt;10,"5-10 min",IF(F96&lt;20,"10-20 min","20+ min"))))</f>
        <v>Under 1 min</v>
      </c>
      <c r="V96" s="17" t="str">
        <f aca="false">IF(WEEKDAY(E96,2)&gt;5,"Weekend","Weekday")</f>
        <v>Weekend</v>
      </c>
    </row>
    <row r="97" customFormat="false" ht="15" hidden="false" customHeight="false" outlineLevel="0" collapsed="false">
      <c r="A97" s="17" t="s">
        <v>307</v>
      </c>
      <c r="B97" s="17" t="s">
        <v>308</v>
      </c>
      <c r="C97" s="17" t="s">
        <v>115</v>
      </c>
      <c r="D97" s="17" t="s">
        <v>112</v>
      </c>
      <c r="E97" s="23" t="n">
        <v>46134</v>
      </c>
      <c r="F97" s="24" t="n">
        <v>12</v>
      </c>
      <c r="G97" s="18" t="n">
        <v>759716</v>
      </c>
      <c r="H97" s="18" t="n">
        <v>54598</v>
      </c>
      <c r="I97" s="18" t="n">
        <v>2343</v>
      </c>
      <c r="J97" s="18" t="n">
        <v>209</v>
      </c>
      <c r="K97" s="18" t="n">
        <v>264</v>
      </c>
      <c r="L97" s="25" t="n">
        <v>4662.3</v>
      </c>
      <c r="M97" s="18" t="n">
        <v>330</v>
      </c>
      <c r="N97" s="26" t="n">
        <f aca="false">DATE(YEAR(E97),MONTH(E97),1)</f>
        <v>46113</v>
      </c>
      <c r="O97" s="17" t="str">
        <f aca="false">CHOOSE(WEEKDAY(E97,2),"Mon","Tue","Wed","Thu","Fri","Sat","Sun")</f>
        <v>Wed</v>
      </c>
      <c r="P97" s="21" t="n">
        <f aca="false">IFERROR(H97/G97,0)</f>
        <v>0.0718663289966251</v>
      </c>
      <c r="Q97" s="19" t="n">
        <f aca="false">IFERROR((I97+J97+K97)/H97,0)</f>
        <v>0.0515769808417891</v>
      </c>
      <c r="R97" s="27" t="n">
        <f aca="false">IFERROR(L97*60/H97,0)</f>
        <v>5.12359427085241</v>
      </c>
      <c r="S97" s="21" t="n">
        <f aca="false">IFERROR(R97/F97,0)</f>
        <v>0.426966189237701</v>
      </c>
      <c r="T97" s="20" t="n">
        <f aca="false">IFERROR(M97/H97,0)</f>
        <v>0.00604417744239716</v>
      </c>
      <c r="U97" s="17" t="str">
        <f aca="false">IF(F97&lt;1,"Under 1 min",IF(F97&lt;5,"1-5 min",IF(F97&lt;10,"5-10 min",IF(F97&lt;20,"10-20 min","20+ min"))))</f>
        <v>10-20 min</v>
      </c>
      <c r="V97" s="17" t="str">
        <f aca="false">IF(WEEKDAY(E97,2)&gt;5,"Weekend","Weekday")</f>
        <v>Weekday</v>
      </c>
    </row>
    <row r="98" customFormat="false" ht="15" hidden="false" customHeight="false" outlineLevel="0" collapsed="false">
      <c r="A98" s="17" t="s">
        <v>309</v>
      </c>
      <c r="B98" s="17" t="s">
        <v>310</v>
      </c>
      <c r="C98" s="17" t="s">
        <v>128</v>
      </c>
      <c r="D98" s="17" t="s">
        <v>112</v>
      </c>
      <c r="E98" s="23" t="n">
        <v>46143</v>
      </c>
      <c r="F98" s="24" t="n">
        <v>9.1</v>
      </c>
      <c r="G98" s="18" t="n">
        <v>332326</v>
      </c>
      <c r="H98" s="18" t="n">
        <v>17986</v>
      </c>
      <c r="I98" s="18" t="n">
        <v>503</v>
      </c>
      <c r="J98" s="18" t="n">
        <v>67</v>
      </c>
      <c r="K98" s="18" t="n">
        <v>66</v>
      </c>
      <c r="L98" s="25" t="n">
        <v>1463.6</v>
      </c>
      <c r="M98" s="18" t="n">
        <v>73</v>
      </c>
      <c r="N98" s="26" t="n">
        <f aca="false">DATE(YEAR(E98),MONTH(E98),1)</f>
        <v>46143</v>
      </c>
      <c r="O98" s="17" t="str">
        <f aca="false">CHOOSE(WEEKDAY(E98,2),"Mon","Tue","Wed","Thu","Fri","Sat","Sun")</f>
        <v>Fri</v>
      </c>
      <c r="P98" s="21" t="n">
        <f aca="false">IFERROR(H98/G98,0)</f>
        <v>0.0541215553402382</v>
      </c>
      <c r="Q98" s="19" t="n">
        <f aca="false">IFERROR((I98+J98+K98)/H98,0)</f>
        <v>0.035360836205938</v>
      </c>
      <c r="R98" s="27" t="n">
        <f aca="false">IFERROR(L98*60/H98,0)</f>
        <v>4.8824641387746</v>
      </c>
      <c r="S98" s="21" t="n">
        <f aca="false">IFERROR(R98/F98,0)</f>
        <v>0.536534520744462</v>
      </c>
      <c r="T98" s="20" t="n">
        <f aca="false">IFERROR(M98/H98,0)</f>
        <v>0.00405871233181363</v>
      </c>
      <c r="U98" s="17" t="str">
        <f aca="false">IF(F98&lt;1,"Under 1 min",IF(F98&lt;5,"1-5 min",IF(F98&lt;10,"5-10 min",IF(F98&lt;20,"10-20 min","20+ min"))))</f>
        <v>5-10 min</v>
      </c>
      <c r="V98" s="17" t="str">
        <f aca="false">IF(WEEKDAY(E98,2)&gt;5,"Weekend","Weekday")</f>
        <v>Weekday</v>
      </c>
    </row>
    <row r="99" customFormat="false" ht="15" hidden="false" customHeight="false" outlineLevel="0" collapsed="false">
      <c r="A99" s="17" t="s">
        <v>311</v>
      </c>
      <c r="B99" s="17" t="s">
        <v>312</v>
      </c>
      <c r="C99" s="17" t="s">
        <v>111</v>
      </c>
      <c r="D99" s="17" t="s">
        <v>112</v>
      </c>
      <c r="E99" s="23" t="n">
        <v>46145</v>
      </c>
      <c r="F99" s="24" t="n">
        <v>17.1</v>
      </c>
      <c r="G99" s="18" t="n">
        <v>422726</v>
      </c>
      <c r="H99" s="18" t="n">
        <v>16051</v>
      </c>
      <c r="I99" s="18" t="n">
        <v>587</v>
      </c>
      <c r="J99" s="18" t="n">
        <v>47</v>
      </c>
      <c r="K99" s="18" t="n">
        <v>36</v>
      </c>
      <c r="L99" s="25" t="n">
        <v>1557.8</v>
      </c>
      <c r="M99" s="18" t="n">
        <v>90</v>
      </c>
      <c r="N99" s="26" t="n">
        <f aca="false">DATE(YEAR(E99),MONTH(E99),1)</f>
        <v>46143</v>
      </c>
      <c r="O99" s="17" t="str">
        <f aca="false">CHOOSE(WEEKDAY(E99,2),"Mon","Tue","Wed","Thu","Fri","Sat","Sun")</f>
        <v>Sun</v>
      </c>
      <c r="P99" s="21" t="n">
        <f aca="false">IFERROR(H99/G99,0)</f>
        <v>0.0379702218458292</v>
      </c>
      <c r="Q99" s="19" t="n">
        <f aca="false">IFERROR((I99+J99+K99)/H99,0)</f>
        <v>0.0417419475422092</v>
      </c>
      <c r="R99" s="27" t="n">
        <f aca="false">IFERROR(L99*60/H99,0)</f>
        <v>5.82318858638091</v>
      </c>
      <c r="S99" s="21" t="n">
        <f aca="false">IFERROR(R99/F99,0)</f>
        <v>0.340537344232802</v>
      </c>
      <c r="T99" s="20" t="n">
        <f aca="false">IFERROR(M99/H99,0)</f>
        <v>0.0056071272817893</v>
      </c>
      <c r="U99" s="17" t="str">
        <f aca="false">IF(F99&lt;1,"Under 1 min",IF(F99&lt;5,"1-5 min",IF(F99&lt;10,"5-10 min",IF(F99&lt;20,"10-20 min","20+ min"))))</f>
        <v>10-20 min</v>
      </c>
      <c r="V99" s="17" t="str">
        <f aca="false">IF(WEEKDAY(E99,2)&gt;5,"Weekend","Weekday")</f>
        <v>Weekend</v>
      </c>
    </row>
    <row r="100" customFormat="false" ht="15" hidden="false" customHeight="false" outlineLevel="0" collapsed="false">
      <c r="A100" s="17" t="s">
        <v>313</v>
      </c>
      <c r="B100" s="17" t="s">
        <v>314</v>
      </c>
      <c r="C100" s="17" t="s">
        <v>118</v>
      </c>
      <c r="D100" s="17" t="s">
        <v>121</v>
      </c>
      <c r="E100" s="23" t="n">
        <v>46149</v>
      </c>
      <c r="F100" s="24" t="n">
        <v>0.96</v>
      </c>
      <c r="G100" s="18" t="n">
        <v>677827</v>
      </c>
      <c r="H100" s="18" t="n">
        <v>43958</v>
      </c>
      <c r="I100" s="18" t="n">
        <v>1546</v>
      </c>
      <c r="J100" s="18" t="n">
        <v>75</v>
      </c>
      <c r="K100" s="18" t="n">
        <v>299</v>
      </c>
      <c r="L100" s="25" t="n">
        <v>636.7</v>
      </c>
      <c r="M100" s="18" t="n">
        <v>75</v>
      </c>
      <c r="N100" s="26" t="n">
        <f aca="false">DATE(YEAR(E100),MONTH(E100),1)</f>
        <v>46143</v>
      </c>
      <c r="O100" s="17" t="str">
        <f aca="false">CHOOSE(WEEKDAY(E100,2),"Mon","Tue","Wed","Thu","Fri","Sat","Sun")</f>
        <v>Thu</v>
      </c>
      <c r="P100" s="21" t="n">
        <f aca="false">IFERROR(H100/G100,0)</f>
        <v>0.0648513558769421</v>
      </c>
      <c r="Q100" s="19" t="n">
        <f aca="false">IFERROR((I100+J100+K100)/H100,0)</f>
        <v>0.0436780563264935</v>
      </c>
      <c r="R100" s="27" t="n">
        <f aca="false">IFERROR(L100*60/H100,0)</f>
        <v>0.8690568269712</v>
      </c>
      <c r="S100" s="21" t="n">
        <f aca="false">IFERROR(R100/F100,0)</f>
        <v>0.905267528095</v>
      </c>
      <c r="T100" s="20" t="n">
        <f aca="false">IFERROR(M100/H100,0)</f>
        <v>0.00170617407525365</v>
      </c>
      <c r="U100" s="17" t="str">
        <f aca="false">IF(F100&lt;1,"Under 1 min",IF(F100&lt;5,"1-5 min",IF(F100&lt;10,"5-10 min",IF(F100&lt;20,"10-20 min","20+ min"))))</f>
        <v>Under 1 min</v>
      </c>
      <c r="V100" s="17" t="str">
        <f aca="false">IF(WEEKDAY(E100,2)&gt;5,"Weekend","Weekday")</f>
        <v>Weekday</v>
      </c>
    </row>
    <row r="101" customFormat="false" ht="15" hidden="false" customHeight="false" outlineLevel="0" collapsed="false">
      <c r="A101" s="17" t="s">
        <v>315</v>
      </c>
      <c r="B101" s="17" t="s">
        <v>316</v>
      </c>
      <c r="C101" s="17" t="s">
        <v>111</v>
      </c>
      <c r="D101" s="17" t="s">
        <v>112</v>
      </c>
      <c r="E101" s="23" t="n">
        <v>46150</v>
      </c>
      <c r="F101" s="24" t="n">
        <v>15.4</v>
      </c>
      <c r="G101" s="18" t="n">
        <v>482959</v>
      </c>
      <c r="H101" s="18" t="n">
        <v>30064</v>
      </c>
      <c r="I101" s="18" t="n">
        <v>1403</v>
      </c>
      <c r="J101" s="18" t="n">
        <v>105</v>
      </c>
      <c r="K101" s="18" t="n">
        <v>153</v>
      </c>
      <c r="L101" s="25" t="n">
        <v>4104.2</v>
      </c>
      <c r="M101" s="18" t="n">
        <v>158</v>
      </c>
      <c r="N101" s="26" t="n">
        <f aca="false">DATE(YEAR(E101),MONTH(E101),1)</f>
        <v>46143</v>
      </c>
      <c r="O101" s="17" t="str">
        <f aca="false">CHOOSE(WEEKDAY(E101,2),"Mon","Tue","Wed","Thu","Fri","Sat","Sun")</f>
        <v>Fri</v>
      </c>
      <c r="P101" s="21" t="n">
        <f aca="false">IFERROR(H101/G101,0)</f>
        <v>0.0622495905449531</v>
      </c>
      <c r="Q101" s="19" t="n">
        <f aca="false">IFERROR((I101+J101+K101)/H101,0)</f>
        <v>0.0552488025545503</v>
      </c>
      <c r="R101" s="27" t="n">
        <f aca="false">IFERROR(L101*60/H101,0)</f>
        <v>8.19092602448111</v>
      </c>
      <c r="S101" s="21" t="n">
        <f aca="false">IFERROR(R101/F101,0)</f>
        <v>0.531878313277994</v>
      </c>
      <c r="T101" s="20" t="n">
        <f aca="false">IFERROR(M101/H101,0)</f>
        <v>0.00525545502927089</v>
      </c>
      <c r="U101" s="17" t="str">
        <f aca="false">IF(F101&lt;1,"Under 1 min",IF(F101&lt;5,"1-5 min",IF(F101&lt;10,"5-10 min",IF(F101&lt;20,"10-20 min","20+ min"))))</f>
        <v>10-20 min</v>
      </c>
      <c r="V101" s="17" t="str">
        <f aca="false">IF(WEEKDAY(E101,2)&gt;5,"Weekend","Weekday")</f>
        <v>Weekday</v>
      </c>
    </row>
    <row r="102" customFormat="false" ht="15" hidden="false" customHeight="false" outlineLevel="0" collapsed="false">
      <c r="A102" s="17" t="s">
        <v>317</v>
      </c>
      <c r="B102" s="17" t="s">
        <v>318</v>
      </c>
      <c r="C102" s="17" t="s">
        <v>202</v>
      </c>
      <c r="D102" s="17" t="s">
        <v>112</v>
      </c>
      <c r="E102" s="23" t="n">
        <v>46150</v>
      </c>
      <c r="F102" s="24" t="n">
        <v>17.7</v>
      </c>
      <c r="G102" s="18" t="n">
        <v>180134</v>
      </c>
      <c r="H102" s="18" t="n">
        <v>8951</v>
      </c>
      <c r="I102" s="18" t="n">
        <v>283</v>
      </c>
      <c r="J102" s="18" t="n">
        <v>36</v>
      </c>
      <c r="K102" s="18" t="n">
        <v>40</v>
      </c>
      <c r="L102" s="25" t="n">
        <v>1067.2</v>
      </c>
      <c r="M102" s="18" t="n">
        <v>23</v>
      </c>
      <c r="N102" s="26" t="n">
        <f aca="false">DATE(YEAR(E102),MONTH(E102),1)</f>
        <v>46143</v>
      </c>
      <c r="O102" s="17" t="str">
        <f aca="false">CHOOSE(WEEKDAY(E102,2),"Mon","Tue","Wed","Thu","Fri","Sat","Sun")</f>
        <v>Fri</v>
      </c>
      <c r="P102" s="21" t="n">
        <f aca="false">IFERROR(H102/G102,0)</f>
        <v>0.0496907857483873</v>
      </c>
      <c r="Q102" s="19" t="n">
        <f aca="false">IFERROR((I102+J102+K102)/H102,0)</f>
        <v>0.0401072505865266</v>
      </c>
      <c r="R102" s="27" t="n">
        <f aca="false">IFERROR(L102*60/H102,0)</f>
        <v>7.15361412132723</v>
      </c>
      <c r="S102" s="21" t="n">
        <f aca="false">IFERROR(R102/F102,0)</f>
        <v>0.404158989905493</v>
      </c>
      <c r="T102" s="20" t="n">
        <f aca="false">IFERROR(M102/H102,0)</f>
        <v>0.00256954530220087</v>
      </c>
      <c r="U102" s="17" t="str">
        <f aca="false">IF(F102&lt;1,"Under 1 min",IF(F102&lt;5,"1-5 min",IF(F102&lt;10,"5-10 min",IF(F102&lt;20,"10-20 min","20+ min"))))</f>
        <v>10-20 min</v>
      </c>
      <c r="V102" s="17" t="str">
        <f aca="false">IF(WEEKDAY(E102,2)&gt;5,"Weekend","Weekday")</f>
        <v>Weekday</v>
      </c>
    </row>
    <row r="103" customFormat="false" ht="15" hidden="false" customHeight="false" outlineLevel="0" collapsed="false">
      <c r="A103" s="17" t="s">
        <v>319</v>
      </c>
      <c r="B103" s="17" t="s">
        <v>320</v>
      </c>
      <c r="C103" s="17" t="s">
        <v>128</v>
      </c>
      <c r="D103" s="17" t="s">
        <v>112</v>
      </c>
      <c r="E103" s="23" t="n">
        <v>46150</v>
      </c>
      <c r="F103" s="24" t="n">
        <v>13.9</v>
      </c>
      <c r="G103" s="18" t="n">
        <v>790454</v>
      </c>
      <c r="H103" s="18" t="n">
        <v>24135</v>
      </c>
      <c r="I103" s="18" t="n">
        <v>985</v>
      </c>
      <c r="J103" s="18" t="n">
        <v>60</v>
      </c>
      <c r="K103" s="18" t="n">
        <v>113</v>
      </c>
      <c r="L103" s="25" t="n">
        <v>2577.5</v>
      </c>
      <c r="M103" s="18" t="n">
        <v>104</v>
      </c>
      <c r="N103" s="26" t="n">
        <f aca="false">DATE(YEAR(E103),MONTH(E103),1)</f>
        <v>46143</v>
      </c>
      <c r="O103" s="17" t="str">
        <f aca="false">CHOOSE(WEEKDAY(E103,2),"Mon","Tue","Wed","Thu","Fri","Sat","Sun")</f>
        <v>Fri</v>
      </c>
      <c r="P103" s="21" t="n">
        <f aca="false">IFERROR(H103/G103,0)</f>
        <v>0.0305330860492831</v>
      </c>
      <c r="Q103" s="19" t="n">
        <f aca="false">IFERROR((I103+J103+K103)/H103,0)</f>
        <v>0.0479801118707272</v>
      </c>
      <c r="R103" s="27" t="n">
        <f aca="false">IFERROR(L103*60/H103,0)</f>
        <v>6.40770665009323</v>
      </c>
      <c r="S103" s="21" t="n">
        <f aca="false">IFERROR(R103/F103,0)</f>
        <v>0.460986089934764</v>
      </c>
      <c r="T103" s="20" t="n">
        <f aca="false">IFERROR(M103/H103,0)</f>
        <v>0.00430909467578206</v>
      </c>
      <c r="U103" s="17" t="str">
        <f aca="false">IF(F103&lt;1,"Under 1 min",IF(F103&lt;5,"1-5 min",IF(F103&lt;10,"5-10 min",IF(F103&lt;20,"10-20 min","20+ min"))))</f>
        <v>10-20 min</v>
      </c>
      <c r="V103" s="17" t="str">
        <f aca="false">IF(WEEKDAY(E103,2)&gt;5,"Weekend","Weekday")</f>
        <v>Weekday</v>
      </c>
    </row>
    <row r="104" customFormat="false" ht="15" hidden="false" customHeight="false" outlineLevel="0" collapsed="false">
      <c r="A104" s="17" t="s">
        <v>321</v>
      </c>
      <c r="B104" s="17" t="s">
        <v>322</v>
      </c>
      <c r="C104" s="17" t="s">
        <v>115</v>
      </c>
      <c r="D104" s="17" t="s">
        <v>112</v>
      </c>
      <c r="E104" s="23" t="n">
        <v>46151</v>
      </c>
      <c r="F104" s="24" t="n">
        <v>6.7</v>
      </c>
      <c r="G104" s="18" t="n">
        <v>933639</v>
      </c>
      <c r="H104" s="18" t="n">
        <v>54887</v>
      </c>
      <c r="I104" s="18" t="n">
        <v>2497</v>
      </c>
      <c r="J104" s="18" t="n">
        <v>158</v>
      </c>
      <c r="K104" s="18" t="n">
        <v>217</v>
      </c>
      <c r="L104" s="25" t="n">
        <v>2620.5</v>
      </c>
      <c r="M104" s="18" t="n">
        <v>208</v>
      </c>
      <c r="N104" s="26" t="n">
        <f aca="false">DATE(YEAR(E104),MONTH(E104),1)</f>
        <v>46143</v>
      </c>
      <c r="O104" s="17" t="str">
        <f aca="false">CHOOSE(WEEKDAY(E104,2),"Mon","Tue","Wed","Thu","Fri","Sat","Sun")</f>
        <v>Sat</v>
      </c>
      <c r="P104" s="21" t="n">
        <f aca="false">IFERROR(H104/G104,0)</f>
        <v>0.0587882468491569</v>
      </c>
      <c r="Q104" s="19" t="n">
        <f aca="false">IFERROR((I104+J104+K104)/H104,0)</f>
        <v>0.0523256873212236</v>
      </c>
      <c r="R104" s="27" t="n">
        <f aca="false">IFERROR(L104*60/H104,0)</f>
        <v>2.86461274983147</v>
      </c>
      <c r="S104" s="21" t="n">
        <f aca="false">IFERROR(R104/F104,0)</f>
        <v>0.427554141765891</v>
      </c>
      <c r="T104" s="20" t="n">
        <f aca="false">IFERROR(M104/H104,0)</f>
        <v>0.0037896040956875</v>
      </c>
      <c r="U104" s="17" t="str">
        <f aca="false">IF(F104&lt;1,"Under 1 min",IF(F104&lt;5,"1-5 min",IF(F104&lt;10,"5-10 min",IF(F104&lt;20,"10-20 min","20+ min"))))</f>
        <v>5-10 min</v>
      </c>
      <c r="V104" s="17" t="str">
        <f aca="false">IF(WEEKDAY(E104,2)&gt;5,"Weekend","Weekday")</f>
        <v>Weekend</v>
      </c>
    </row>
    <row r="105" customFormat="false" ht="15" hidden="false" customHeight="false" outlineLevel="0" collapsed="false">
      <c r="A105" s="17" t="s">
        <v>323</v>
      </c>
      <c r="B105" s="17" t="s">
        <v>324</v>
      </c>
      <c r="C105" s="17" t="s">
        <v>111</v>
      </c>
      <c r="D105" s="17" t="s">
        <v>121</v>
      </c>
      <c r="E105" s="23" t="n">
        <v>46151</v>
      </c>
      <c r="F105" s="24" t="n">
        <v>0.95</v>
      </c>
      <c r="G105" s="18" t="n">
        <v>1252316</v>
      </c>
      <c r="H105" s="18" t="n">
        <v>88610</v>
      </c>
      <c r="I105" s="18" t="n">
        <v>2824</v>
      </c>
      <c r="J105" s="18" t="n">
        <v>124</v>
      </c>
      <c r="K105" s="18" t="n">
        <v>527</v>
      </c>
      <c r="L105" s="25" t="n">
        <v>1066.3</v>
      </c>
      <c r="M105" s="18" t="n">
        <v>158</v>
      </c>
      <c r="N105" s="26" t="n">
        <f aca="false">DATE(YEAR(E105),MONTH(E105),1)</f>
        <v>46143</v>
      </c>
      <c r="O105" s="17" t="str">
        <f aca="false">CHOOSE(WEEKDAY(E105,2),"Mon","Tue","Wed","Thu","Fri","Sat","Sun")</f>
        <v>Sat</v>
      </c>
      <c r="P105" s="21" t="n">
        <f aca="false">IFERROR(H105/G105,0)</f>
        <v>0.070756901612692</v>
      </c>
      <c r="Q105" s="19" t="n">
        <f aca="false">IFERROR((I105+J105+K105)/H105,0)</f>
        <v>0.0392167926870556</v>
      </c>
      <c r="R105" s="27" t="n">
        <f aca="false">IFERROR(L105*60/H105,0)</f>
        <v>0.722017830944589</v>
      </c>
      <c r="S105" s="21" t="n">
        <f aca="false">IFERROR(R105/F105,0)</f>
        <v>0.760018769415357</v>
      </c>
      <c r="T105" s="20" t="n">
        <f aca="false">IFERROR(M105/H105,0)</f>
        <v>0.00178309445886469</v>
      </c>
      <c r="U105" s="17" t="str">
        <f aca="false">IF(F105&lt;1,"Under 1 min",IF(F105&lt;5,"1-5 min",IF(F105&lt;10,"5-10 min",IF(F105&lt;20,"10-20 min","20+ min"))))</f>
        <v>Under 1 min</v>
      </c>
      <c r="V105" s="17" t="str">
        <f aca="false">IF(WEEKDAY(E105,2)&gt;5,"Weekend","Weekday")</f>
        <v>Weekend</v>
      </c>
    </row>
    <row r="106" customFormat="false" ht="15" hidden="false" customHeight="false" outlineLevel="0" collapsed="false">
      <c r="A106" s="17" t="s">
        <v>325</v>
      </c>
      <c r="B106" s="17" t="s">
        <v>326</v>
      </c>
      <c r="C106" s="17" t="s">
        <v>115</v>
      </c>
      <c r="D106" s="17" t="s">
        <v>112</v>
      </c>
      <c r="E106" s="23" t="n">
        <v>46164</v>
      </c>
      <c r="F106" s="24" t="n">
        <v>13.5</v>
      </c>
      <c r="G106" s="18" t="n">
        <v>1144571</v>
      </c>
      <c r="H106" s="18" t="n">
        <v>73694</v>
      </c>
      <c r="I106" s="18" t="n">
        <v>3662</v>
      </c>
      <c r="J106" s="18" t="n">
        <v>347</v>
      </c>
      <c r="K106" s="18" t="n">
        <v>414</v>
      </c>
      <c r="L106" s="25" t="n">
        <v>6461.1</v>
      </c>
      <c r="M106" s="18" t="n">
        <v>218</v>
      </c>
      <c r="N106" s="26" t="n">
        <f aca="false">DATE(YEAR(E106),MONTH(E106),1)</f>
        <v>46143</v>
      </c>
      <c r="O106" s="17" t="str">
        <f aca="false">CHOOSE(WEEKDAY(E106,2),"Mon","Tue","Wed","Thu","Fri","Sat","Sun")</f>
        <v>Fri</v>
      </c>
      <c r="P106" s="21" t="n">
        <f aca="false">IFERROR(H106/G106,0)</f>
        <v>0.064385695601234</v>
      </c>
      <c r="Q106" s="19" t="n">
        <f aca="false">IFERROR((I106+J106+K106)/H106,0)</f>
        <v>0.0600184546910196</v>
      </c>
      <c r="R106" s="27" t="n">
        <f aca="false">IFERROR(L106*60/H106,0)</f>
        <v>5.26048253589166</v>
      </c>
      <c r="S106" s="21" t="n">
        <f aca="false">IFERROR(R106/F106,0)</f>
        <v>0.389665373029012</v>
      </c>
      <c r="T106" s="20" t="n">
        <f aca="false">IFERROR(M106/H106,0)</f>
        <v>0.00295817841343936</v>
      </c>
      <c r="U106" s="17" t="str">
        <f aca="false">IF(F106&lt;1,"Under 1 min",IF(F106&lt;5,"1-5 min",IF(F106&lt;10,"5-10 min",IF(F106&lt;20,"10-20 min","20+ min"))))</f>
        <v>10-20 min</v>
      </c>
      <c r="V106" s="17" t="str">
        <f aca="false">IF(WEEKDAY(E106,2)&gt;5,"Weekend","Weekday")</f>
        <v>Weekday</v>
      </c>
    </row>
    <row r="107" customFormat="false" ht="15" hidden="false" customHeight="false" outlineLevel="0" collapsed="false">
      <c r="A107" s="17" t="s">
        <v>327</v>
      </c>
      <c r="B107" s="17" t="s">
        <v>328</v>
      </c>
      <c r="C107" s="17" t="s">
        <v>118</v>
      </c>
      <c r="D107" s="17" t="s">
        <v>112</v>
      </c>
      <c r="E107" s="23" t="n">
        <v>46164</v>
      </c>
      <c r="F107" s="24" t="n">
        <v>16.4</v>
      </c>
      <c r="G107" s="18" t="n">
        <v>471692</v>
      </c>
      <c r="H107" s="18" t="n">
        <v>33204</v>
      </c>
      <c r="I107" s="18" t="n">
        <v>1556</v>
      </c>
      <c r="J107" s="18" t="n">
        <v>61</v>
      </c>
      <c r="K107" s="18" t="n">
        <v>157</v>
      </c>
      <c r="L107" s="25" t="n">
        <v>4429.8</v>
      </c>
      <c r="M107" s="18" t="n">
        <v>126</v>
      </c>
      <c r="N107" s="26" t="n">
        <f aca="false">DATE(YEAR(E107),MONTH(E107),1)</f>
        <v>46143</v>
      </c>
      <c r="O107" s="17" t="str">
        <f aca="false">CHOOSE(WEEKDAY(E107,2),"Mon","Tue","Wed","Thu","Fri","Sat","Sun")</f>
        <v>Fri</v>
      </c>
      <c r="P107" s="21" t="n">
        <f aca="false">IFERROR(H107/G107,0)</f>
        <v>0.0703933922983642</v>
      </c>
      <c r="Q107" s="19" t="n">
        <f aca="false">IFERROR((I107+J107+K107)/H107,0)</f>
        <v>0.0534272979159137</v>
      </c>
      <c r="R107" s="27" t="n">
        <f aca="false">IFERROR(L107*60/H107,0)</f>
        <v>8.00469822912902</v>
      </c>
      <c r="S107" s="21" t="n">
        <f aca="false">IFERROR(R107/F107,0)</f>
        <v>0.488091355434696</v>
      </c>
      <c r="T107" s="20" t="n">
        <f aca="false">IFERROR(M107/H107,0)</f>
        <v>0.00379472352728587</v>
      </c>
      <c r="U107" s="17" t="str">
        <f aca="false">IF(F107&lt;1,"Under 1 min",IF(F107&lt;5,"1-5 min",IF(F107&lt;10,"5-10 min",IF(F107&lt;20,"10-20 min","20+ min"))))</f>
        <v>10-20 min</v>
      </c>
      <c r="V107" s="17" t="str">
        <f aca="false">IF(WEEKDAY(E107,2)&gt;5,"Weekend","Weekday")</f>
        <v>Weekday</v>
      </c>
    </row>
    <row r="108" customFormat="false" ht="15" hidden="false" customHeight="false" outlineLevel="0" collapsed="false">
      <c r="A108" s="17" t="s">
        <v>329</v>
      </c>
      <c r="B108" s="17" t="s">
        <v>330</v>
      </c>
      <c r="C108" s="17" t="s">
        <v>118</v>
      </c>
      <c r="D108" s="17" t="s">
        <v>121</v>
      </c>
      <c r="E108" s="23" t="n">
        <v>46165</v>
      </c>
      <c r="F108" s="24" t="n">
        <v>0.44</v>
      </c>
      <c r="G108" s="18" t="n">
        <v>734675</v>
      </c>
      <c r="H108" s="18" t="n">
        <v>63991</v>
      </c>
      <c r="I108" s="18" t="n">
        <v>2218</v>
      </c>
      <c r="J108" s="18" t="n">
        <v>99</v>
      </c>
      <c r="K108" s="18" t="n">
        <v>448</v>
      </c>
      <c r="L108" s="25" t="n">
        <v>390.5</v>
      </c>
      <c r="M108" s="18" t="n">
        <v>82</v>
      </c>
      <c r="N108" s="26" t="n">
        <f aca="false">DATE(YEAR(E108),MONTH(E108),1)</f>
        <v>46143</v>
      </c>
      <c r="O108" s="17" t="str">
        <f aca="false">CHOOSE(WEEKDAY(E108,2),"Mon","Tue","Wed","Thu","Fri","Sat","Sun")</f>
        <v>Sat</v>
      </c>
      <c r="P108" s="21" t="n">
        <f aca="false">IFERROR(H108/G108,0)</f>
        <v>0.0871010991254636</v>
      </c>
      <c r="Q108" s="19" t="n">
        <f aca="false">IFERROR((I108+J108+K108)/H108,0)</f>
        <v>0.043209201293932</v>
      </c>
      <c r="R108" s="27" t="n">
        <f aca="false">IFERROR(L108*60/H108,0)</f>
        <v>0.366145239174259</v>
      </c>
      <c r="S108" s="21" t="n">
        <f aca="false">IFERROR(R108/F108,0)</f>
        <v>0.832148270850588</v>
      </c>
      <c r="T108" s="20" t="n">
        <f aca="false">IFERROR(M108/H108,0)</f>
        <v>0.00128143020112203</v>
      </c>
      <c r="U108" s="17" t="str">
        <f aca="false">IF(F108&lt;1,"Under 1 min",IF(F108&lt;5,"1-5 min",IF(F108&lt;10,"5-10 min",IF(F108&lt;20,"10-20 min","20+ min"))))</f>
        <v>Under 1 min</v>
      </c>
      <c r="V108" s="17" t="str">
        <f aca="false">IF(WEEKDAY(E108,2)&gt;5,"Weekend","Weekday")</f>
        <v>Weekend</v>
      </c>
    </row>
    <row r="109" customFormat="false" ht="15" hidden="false" customHeight="false" outlineLevel="0" collapsed="false">
      <c r="A109" s="17" t="s">
        <v>331</v>
      </c>
      <c r="B109" s="17" t="s">
        <v>332</v>
      </c>
      <c r="C109" s="17" t="s">
        <v>118</v>
      </c>
      <c r="D109" s="17" t="s">
        <v>112</v>
      </c>
      <c r="E109" s="23" t="n">
        <v>46171</v>
      </c>
      <c r="F109" s="24" t="n">
        <v>6.3</v>
      </c>
      <c r="G109" s="18" t="n">
        <v>591091</v>
      </c>
      <c r="H109" s="18" t="n">
        <v>29073</v>
      </c>
      <c r="I109" s="18" t="n">
        <v>1155</v>
      </c>
      <c r="J109" s="18" t="n">
        <v>124</v>
      </c>
      <c r="K109" s="18" t="n">
        <v>88</v>
      </c>
      <c r="L109" s="25" t="n">
        <v>1435.7</v>
      </c>
      <c r="M109" s="18" t="n">
        <v>127</v>
      </c>
      <c r="N109" s="26" t="n">
        <f aca="false">DATE(YEAR(E109),MONTH(E109),1)</f>
        <v>46143</v>
      </c>
      <c r="O109" s="17" t="str">
        <f aca="false">CHOOSE(WEEKDAY(E109,2),"Mon","Tue","Wed","Thu","Fri","Sat","Sun")</f>
        <v>Fri</v>
      </c>
      <c r="P109" s="21" t="n">
        <f aca="false">IFERROR(H109/G109,0)</f>
        <v>0.0491853200268656</v>
      </c>
      <c r="Q109" s="19" t="n">
        <f aca="false">IFERROR((I109+J109+K109)/H109,0)</f>
        <v>0.0470195714236577</v>
      </c>
      <c r="R109" s="27" t="n">
        <f aca="false">IFERROR(L109*60/H109,0)</f>
        <v>2.96295531936849</v>
      </c>
      <c r="S109" s="21" t="n">
        <f aca="false">IFERROR(R109/F109,0)</f>
        <v>0.470310368153728</v>
      </c>
      <c r="T109" s="20" t="n">
        <f aca="false">IFERROR(M109/H109,0)</f>
        <v>0.00436831424345613</v>
      </c>
      <c r="U109" s="17" t="str">
        <f aca="false">IF(F109&lt;1,"Under 1 min",IF(F109&lt;5,"1-5 min",IF(F109&lt;10,"5-10 min",IF(F109&lt;20,"10-20 min","20+ min"))))</f>
        <v>5-10 min</v>
      </c>
      <c r="V109" s="17" t="str">
        <f aca="false">IF(WEEKDAY(E109,2)&gt;5,"Weekend","Weekday")</f>
        <v>Weekday</v>
      </c>
    </row>
    <row r="110" customFormat="false" ht="15" hidden="false" customHeight="false" outlineLevel="0" collapsed="false">
      <c r="A110" s="17" t="s">
        <v>333</v>
      </c>
      <c r="B110" s="17" t="s">
        <v>334</v>
      </c>
      <c r="C110" s="17" t="s">
        <v>115</v>
      </c>
      <c r="D110" s="17" t="s">
        <v>121</v>
      </c>
      <c r="E110" s="23" t="n">
        <v>46175</v>
      </c>
      <c r="F110" s="24" t="n">
        <v>0.88</v>
      </c>
      <c r="G110" s="18" t="n">
        <v>506881</v>
      </c>
      <c r="H110" s="18" t="n">
        <v>37365</v>
      </c>
      <c r="I110" s="18" t="n">
        <v>864</v>
      </c>
      <c r="J110" s="18" t="n">
        <v>50</v>
      </c>
      <c r="K110" s="18" t="n">
        <v>194</v>
      </c>
      <c r="L110" s="25" t="n">
        <v>405.6</v>
      </c>
      <c r="M110" s="18" t="n">
        <v>66</v>
      </c>
      <c r="N110" s="26" t="n">
        <f aca="false">DATE(YEAR(E110),MONTH(E110),1)</f>
        <v>46174</v>
      </c>
      <c r="O110" s="17" t="str">
        <f aca="false">CHOOSE(WEEKDAY(E110,2),"Mon","Tue","Wed","Thu","Fri","Sat","Sun")</f>
        <v>Tue</v>
      </c>
      <c r="P110" s="21" t="n">
        <f aca="false">IFERROR(H110/G110,0)</f>
        <v>0.073715526918547</v>
      </c>
      <c r="Q110" s="19" t="n">
        <f aca="false">IFERROR((I110+J110+K110)/H110,0)</f>
        <v>0.0296534189749766</v>
      </c>
      <c r="R110" s="27" t="n">
        <f aca="false">IFERROR(L110*60/H110,0)</f>
        <v>0.651304696908872</v>
      </c>
      <c r="S110" s="21" t="n">
        <f aca="false">IFERROR(R110/F110,0)</f>
        <v>0.740118973760082</v>
      </c>
      <c r="T110" s="20" t="n">
        <f aca="false">IFERROR(M110/H110,0)</f>
        <v>0.00176635889201124</v>
      </c>
      <c r="U110" s="17" t="str">
        <f aca="false">IF(F110&lt;1,"Under 1 min",IF(F110&lt;5,"1-5 min",IF(F110&lt;10,"5-10 min",IF(F110&lt;20,"10-20 min","20+ min"))))</f>
        <v>Under 1 min</v>
      </c>
      <c r="V110" s="17" t="str">
        <f aca="false">IF(WEEKDAY(E110,2)&gt;5,"Weekend","Weekday")</f>
        <v>Weekday</v>
      </c>
    </row>
    <row r="111" customFormat="false" ht="15" hidden="false" customHeight="false" outlineLevel="0" collapsed="false">
      <c r="A111" s="17" t="s">
        <v>335</v>
      </c>
      <c r="B111" s="17" t="s">
        <v>336</v>
      </c>
      <c r="C111" s="17" t="s">
        <v>115</v>
      </c>
      <c r="D111" s="17" t="s">
        <v>112</v>
      </c>
      <c r="E111" s="23" t="n">
        <v>46176</v>
      </c>
      <c r="F111" s="24" t="n">
        <v>8.8</v>
      </c>
      <c r="G111" s="18" t="n">
        <v>805428</v>
      </c>
      <c r="H111" s="18" t="n">
        <v>45480</v>
      </c>
      <c r="I111" s="18" t="n">
        <v>2221</v>
      </c>
      <c r="J111" s="18" t="n">
        <v>159</v>
      </c>
      <c r="K111" s="18" t="n">
        <v>195</v>
      </c>
      <c r="L111" s="25" t="n">
        <v>2858.9</v>
      </c>
      <c r="M111" s="18" t="n">
        <v>236</v>
      </c>
      <c r="N111" s="26" t="n">
        <f aca="false">DATE(YEAR(E111),MONTH(E111),1)</f>
        <v>46174</v>
      </c>
      <c r="O111" s="17" t="str">
        <f aca="false">CHOOSE(WEEKDAY(E111,2),"Mon","Tue","Wed","Thu","Fri","Sat","Sun")</f>
        <v>Wed</v>
      </c>
      <c r="P111" s="21" t="n">
        <f aca="false">IFERROR(H111/G111,0)</f>
        <v>0.0564668722716369</v>
      </c>
      <c r="Q111" s="19" t="n">
        <f aca="false">IFERROR((I111+J111+K111)/H111,0)</f>
        <v>0.0566182937554969</v>
      </c>
      <c r="R111" s="27" t="n">
        <f aca="false">IFERROR(L111*60/H111,0)</f>
        <v>3.77163588390501</v>
      </c>
      <c r="S111" s="21" t="n">
        <f aca="false">IFERROR(R111/F111,0)</f>
        <v>0.428594986807388</v>
      </c>
      <c r="T111" s="20" t="n">
        <f aca="false">IFERROR(M111/H111,0)</f>
        <v>0.00518909410729991</v>
      </c>
      <c r="U111" s="17" t="str">
        <f aca="false">IF(F111&lt;1,"Under 1 min",IF(F111&lt;5,"1-5 min",IF(F111&lt;10,"5-10 min",IF(F111&lt;20,"10-20 min","20+ min"))))</f>
        <v>5-10 min</v>
      </c>
      <c r="V111" s="17" t="str">
        <f aca="false">IF(WEEKDAY(E111,2)&gt;5,"Weekend","Weekday")</f>
        <v>Weekday</v>
      </c>
    </row>
    <row r="112" customFormat="false" ht="15" hidden="false" customHeight="false" outlineLevel="0" collapsed="false">
      <c r="A112" s="17" t="s">
        <v>337</v>
      </c>
      <c r="B112" s="17" t="s">
        <v>338</v>
      </c>
      <c r="C112" s="17" t="s">
        <v>115</v>
      </c>
      <c r="D112" s="17" t="s">
        <v>121</v>
      </c>
      <c r="E112" s="23" t="n">
        <v>46178</v>
      </c>
      <c r="F112" s="24" t="n">
        <v>0.51</v>
      </c>
      <c r="G112" s="18" t="n">
        <v>833330</v>
      </c>
      <c r="H112" s="18" t="n">
        <v>68683</v>
      </c>
      <c r="I112" s="18" t="n">
        <v>2063</v>
      </c>
      <c r="J112" s="18" t="n">
        <v>98</v>
      </c>
      <c r="K112" s="18" t="n">
        <v>397</v>
      </c>
      <c r="L112" s="25" t="n">
        <v>367.3</v>
      </c>
      <c r="M112" s="18" t="n">
        <v>145</v>
      </c>
      <c r="N112" s="26" t="n">
        <f aca="false">DATE(YEAR(E112),MONTH(E112),1)</f>
        <v>46174</v>
      </c>
      <c r="O112" s="17" t="str">
        <f aca="false">CHOOSE(WEEKDAY(E112,2),"Mon","Tue","Wed","Thu","Fri","Sat","Sun")</f>
        <v>Fri</v>
      </c>
      <c r="P112" s="21" t="n">
        <f aca="false">IFERROR(H112/G112,0)</f>
        <v>0.0824199296797187</v>
      </c>
      <c r="Q112" s="19" t="n">
        <f aca="false">IFERROR((I112+J112+K112)/H112,0)</f>
        <v>0.0372435682774486</v>
      </c>
      <c r="R112" s="27" t="n">
        <f aca="false">IFERROR(L112*60/H112,0)</f>
        <v>0.320865425214391</v>
      </c>
      <c r="S112" s="21" t="n">
        <f aca="false">IFERROR(R112/F112,0)</f>
        <v>0.629147892577237</v>
      </c>
      <c r="T112" s="20" t="n">
        <f aca="false">IFERROR(M112/H112,0)</f>
        <v>0.00211114831908915</v>
      </c>
      <c r="U112" s="17" t="str">
        <f aca="false">IF(F112&lt;1,"Under 1 min",IF(F112&lt;5,"1-5 min",IF(F112&lt;10,"5-10 min",IF(F112&lt;20,"10-20 min","20+ min"))))</f>
        <v>Under 1 min</v>
      </c>
      <c r="V112" s="17" t="str">
        <f aca="false">IF(WEEKDAY(E112,2)&gt;5,"Weekend","Weekday")</f>
        <v>Weekday</v>
      </c>
    </row>
    <row r="113" customFormat="false" ht="15" hidden="false" customHeight="false" outlineLevel="0" collapsed="false">
      <c r="A113" s="17" t="s">
        <v>339</v>
      </c>
      <c r="B113" s="17" t="s">
        <v>340</v>
      </c>
      <c r="C113" s="17" t="s">
        <v>118</v>
      </c>
      <c r="D113" s="17" t="s">
        <v>112</v>
      </c>
      <c r="E113" s="23" t="n">
        <v>46181</v>
      </c>
      <c r="F113" s="24" t="n">
        <v>12.1</v>
      </c>
      <c r="G113" s="18" t="n">
        <v>602632</v>
      </c>
      <c r="H113" s="18" t="n">
        <v>33062</v>
      </c>
      <c r="I113" s="18" t="n">
        <v>1651</v>
      </c>
      <c r="J113" s="18" t="n">
        <v>118</v>
      </c>
      <c r="K113" s="18" t="n">
        <v>132</v>
      </c>
      <c r="L113" s="25" t="n">
        <v>2819.3</v>
      </c>
      <c r="M113" s="18" t="n">
        <v>141</v>
      </c>
      <c r="N113" s="26" t="n">
        <f aca="false">DATE(YEAR(E113),MONTH(E113),1)</f>
        <v>46174</v>
      </c>
      <c r="O113" s="17" t="str">
        <f aca="false">CHOOSE(WEEKDAY(E113,2),"Mon","Tue","Wed","Thu","Fri","Sat","Sun")</f>
        <v>Mon</v>
      </c>
      <c r="P113" s="21" t="n">
        <f aca="false">IFERROR(H113/G113,0)</f>
        <v>0.0548626690915849</v>
      </c>
      <c r="Q113" s="19" t="n">
        <f aca="false">IFERROR((I113+J113+K113)/H113,0)</f>
        <v>0.0574980339967334</v>
      </c>
      <c r="R113" s="27" t="n">
        <f aca="false">IFERROR(L113*60/H113,0)</f>
        <v>5.11638739338213</v>
      </c>
      <c r="S113" s="21" t="n">
        <f aca="false">IFERROR(R113/F113,0)</f>
        <v>0.422841933337366</v>
      </c>
      <c r="T113" s="20" t="n">
        <f aca="false">IFERROR(M113/H113,0)</f>
        <v>0.00426471477829532</v>
      </c>
      <c r="U113" s="17" t="str">
        <f aca="false">IF(F113&lt;1,"Under 1 min",IF(F113&lt;5,"1-5 min",IF(F113&lt;10,"5-10 min",IF(F113&lt;20,"10-20 min","20+ min"))))</f>
        <v>10-20 min</v>
      </c>
      <c r="V113" s="17" t="str">
        <f aca="false">IF(WEEKDAY(E113,2)&gt;5,"Weekend","Weekday")</f>
        <v>Weekday</v>
      </c>
    </row>
    <row r="114" customFormat="false" ht="15" hidden="false" customHeight="false" outlineLevel="0" collapsed="false">
      <c r="A114" s="17" t="s">
        <v>341</v>
      </c>
      <c r="B114" s="17" t="s">
        <v>342</v>
      </c>
      <c r="C114" s="17" t="s">
        <v>111</v>
      </c>
      <c r="D114" s="17" t="s">
        <v>112</v>
      </c>
      <c r="E114" s="23" t="n">
        <v>46187</v>
      </c>
      <c r="F114" s="24" t="n">
        <v>4</v>
      </c>
      <c r="G114" s="18" t="n">
        <v>950462</v>
      </c>
      <c r="H114" s="18" t="n">
        <v>45893</v>
      </c>
      <c r="I114" s="18" t="n">
        <v>1730</v>
      </c>
      <c r="J114" s="18" t="n">
        <v>176</v>
      </c>
      <c r="K114" s="18" t="n">
        <v>238</v>
      </c>
      <c r="L114" s="25" t="n">
        <v>1718.4</v>
      </c>
      <c r="M114" s="18" t="n">
        <v>285</v>
      </c>
      <c r="N114" s="26" t="n">
        <f aca="false">DATE(YEAR(E114),MONTH(E114),1)</f>
        <v>46174</v>
      </c>
      <c r="O114" s="17" t="str">
        <f aca="false">CHOOSE(WEEKDAY(E114,2),"Mon","Tue","Wed","Thu","Fri","Sat","Sun")</f>
        <v>Sun</v>
      </c>
      <c r="P114" s="21" t="n">
        <f aca="false">IFERROR(H114/G114,0)</f>
        <v>0.0482849393242444</v>
      </c>
      <c r="Q114" s="19" t="n">
        <f aca="false">IFERROR((I114+J114+K114)/H114,0)</f>
        <v>0.0467173643039244</v>
      </c>
      <c r="R114" s="27" t="n">
        <f aca="false">IFERROR(L114*60/H114,0)</f>
        <v>2.2466171311529</v>
      </c>
      <c r="S114" s="21" t="n">
        <f aca="false">IFERROR(R114/F114,0)</f>
        <v>0.561654282788225</v>
      </c>
      <c r="T114" s="20" t="n">
        <f aca="false">IFERROR(M114/H114,0)</f>
        <v>0.00621009740047502</v>
      </c>
      <c r="U114" s="17" t="str">
        <f aca="false">IF(F114&lt;1,"Under 1 min",IF(F114&lt;5,"1-5 min",IF(F114&lt;10,"5-10 min",IF(F114&lt;20,"10-20 min","20+ min"))))</f>
        <v>1-5 min</v>
      </c>
      <c r="V114" s="17" t="str">
        <f aca="false">IF(WEEKDAY(E114,2)&gt;5,"Weekend","Weekday")</f>
        <v>Weekend</v>
      </c>
    </row>
    <row r="115" customFormat="false" ht="15" hidden="false" customHeight="false" outlineLevel="0" collapsed="false">
      <c r="A115" s="17" t="s">
        <v>343</v>
      </c>
      <c r="B115" s="17" t="s">
        <v>344</v>
      </c>
      <c r="C115" s="17" t="s">
        <v>115</v>
      </c>
      <c r="D115" s="17" t="s">
        <v>112</v>
      </c>
      <c r="E115" s="23" t="n">
        <v>46190</v>
      </c>
      <c r="F115" s="24" t="n">
        <v>13.2</v>
      </c>
      <c r="G115" s="18" t="n">
        <v>597500</v>
      </c>
      <c r="H115" s="18" t="n">
        <v>22323</v>
      </c>
      <c r="I115" s="18" t="n">
        <v>781</v>
      </c>
      <c r="J115" s="18" t="n">
        <v>94</v>
      </c>
      <c r="K115" s="18" t="n">
        <v>91</v>
      </c>
      <c r="L115" s="25" t="n">
        <v>2309.2</v>
      </c>
      <c r="M115" s="18" t="n">
        <v>72</v>
      </c>
      <c r="N115" s="26" t="n">
        <f aca="false">DATE(YEAR(E115),MONTH(E115),1)</f>
        <v>46174</v>
      </c>
      <c r="O115" s="17" t="str">
        <f aca="false">CHOOSE(WEEKDAY(E115,2),"Mon","Tue","Wed","Thu","Fri","Sat","Sun")</f>
        <v>Wed</v>
      </c>
      <c r="P115" s="21" t="n">
        <f aca="false">IFERROR(H115/G115,0)</f>
        <v>0.037360669456067</v>
      </c>
      <c r="Q115" s="19" t="n">
        <f aca="false">IFERROR((I115+J115+K115)/H115,0)</f>
        <v>0.0432737535277516</v>
      </c>
      <c r="R115" s="27" t="n">
        <f aca="false">IFERROR(L115*60/H115,0)</f>
        <v>6.20669264883752</v>
      </c>
      <c r="S115" s="21" t="n">
        <f aca="false">IFERROR(R115/F115,0)</f>
        <v>0.470203988548297</v>
      </c>
      <c r="T115" s="20" t="n">
        <f aca="false">IFERROR(M115/H115,0)</f>
        <v>0.00322537293374546</v>
      </c>
      <c r="U115" s="17" t="str">
        <f aca="false">IF(F115&lt;1,"Under 1 min",IF(F115&lt;5,"1-5 min",IF(F115&lt;10,"5-10 min",IF(F115&lt;20,"10-20 min","20+ min"))))</f>
        <v>10-20 min</v>
      </c>
      <c r="V115" s="17" t="str">
        <f aca="false">IF(WEEKDAY(E115,2)&gt;5,"Weekend","Weekday")</f>
        <v>Weekday</v>
      </c>
    </row>
    <row r="116" customFormat="false" ht="15" hidden="false" customHeight="false" outlineLevel="0" collapsed="false">
      <c r="A116" s="17" t="s">
        <v>345</v>
      </c>
      <c r="B116" s="17" t="s">
        <v>346</v>
      </c>
      <c r="C116" s="17" t="s">
        <v>165</v>
      </c>
      <c r="D116" s="17" t="s">
        <v>112</v>
      </c>
      <c r="E116" s="23" t="n">
        <v>46190</v>
      </c>
      <c r="F116" s="24" t="n">
        <v>4.2</v>
      </c>
      <c r="G116" s="18" t="n">
        <v>303396</v>
      </c>
      <c r="H116" s="18" t="n">
        <v>20795</v>
      </c>
      <c r="I116" s="18" t="n">
        <v>1267</v>
      </c>
      <c r="J116" s="18" t="n">
        <v>88</v>
      </c>
      <c r="K116" s="18" t="n">
        <v>63</v>
      </c>
      <c r="L116" s="25" t="n">
        <v>840.6</v>
      </c>
      <c r="M116" s="18" t="n">
        <v>93</v>
      </c>
      <c r="N116" s="26" t="n">
        <f aca="false">DATE(YEAR(E116),MONTH(E116),1)</f>
        <v>46174</v>
      </c>
      <c r="O116" s="17" t="str">
        <f aca="false">CHOOSE(WEEKDAY(E116,2),"Mon","Tue","Wed","Thu","Fri","Sat","Sun")</f>
        <v>Wed</v>
      </c>
      <c r="P116" s="21" t="n">
        <f aca="false">IFERROR(H116/G116,0)</f>
        <v>0.0685407849806853</v>
      </c>
      <c r="Q116" s="19" t="n">
        <f aca="false">IFERROR((I116+J116+K116)/H116,0)</f>
        <v>0.068189468622265</v>
      </c>
      <c r="R116" s="27" t="n">
        <f aca="false">IFERROR(L116*60/H116,0)</f>
        <v>2.42539071892282</v>
      </c>
      <c r="S116" s="21" t="n">
        <f aca="false">IFERROR(R116/F116,0)</f>
        <v>0.577473980695909</v>
      </c>
      <c r="T116" s="20" t="n">
        <f aca="false">IFERROR(M116/H116,0)</f>
        <v>0.00447222890117817</v>
      </c>
      <c r="U116" s="17" t="str">
        <f aca="false">IF(F116&lt;1,"Under 1 min",IF(F116&lt;5,"1-5 min",IF(F116&lt;10,"5-10 min",IF(F116&lt;20,"10-20 min","20+ min"))))</f>
        <v>1-5 min</v>
      </c>
      <c r="V116" s="17" t="str">
        <f aca="false">IF(WEEKDAY(E116,2)&gt;5,"Weekend","Weekday")</f>
        <v>Weekday</v>
      </c>
    </row>
    <row r="117" customFormat="false" ht="15" hidden="false" customHeight="false" outlineLevel="0" collapsed="false">
      <c r="A117" s="17" t="s">
        <v>347</v>
      </c>
      <c r="B117" s="17" t="s">
        <v>348</v>
      </c>
      <c r="C117" s="17" t="s">
        <v>111</v>
      </c>
      <c r="D117" s="17" t="s">
        <v>121</v>
      </c>
      <c r="E117" s="23" t="n">
        <v>46192</v>
      </c>
      <c r="F117" s="24" t="n">
        <v>0.71</v>
      </c>
      <c r="G117" s="18" t="n">
        <v>2032824</v>
      </c>
      <c r="H117" s="18" t="n">
        <v>107201</v>
      </c>
      <c r="I117" s="18" t="n">
        <v>4896</v>
      </c>
      <c r="J117" s="18" t="n">
        <v>173</v>
      </c>
      <c r="K117" s="18" t="n">
        <v>630</v>
      </c>
      <c r="L117" s="25" t="n">
        <v>855.6</v>
      </c>
      <c r="M117" s="18" t="n">
        <v>184</v>
      </c>
      <c r="N117" s="26" t="n">
        <f aca="false">DATE(YEAR(E117),MONTH(E117),1)</f>
        <v>46174</v>
      </c>
      <c r="O117" s="17" t="str">
        <f aca="false">CHOOSE(WEEKDAY(E117,2),"Mon","Tue","Wed","Thu","Fri","Sat","Sun")</f>
        <v>Fri</v>
      </c>
      <c r="P117" s="21" t="n">
        <f aca="false">IFERROR(H117/G117,0)</f>
        <v>0.0527350129671826</v>
      </c>
      <c r="Q117" s="19" t="n">
        <f aca="false">IFERROR((I117+J117+K117)/H117,0)</f>
        <v>0.053161817520359</v>
      </c>
      <c r="R117" s="27" t="n">
        <f aca="false">IFERROR(L117*60/H117,0)</f>
        <v>0.478876129886848</v>
      </c>
      <c r="S117" s="21" t="n">
        <f aca="false">IFERROR(R117/F117,0)</f>
        <v>0.674473422375842</v>
      </c>
      <c r="T117" s="20" t="n">
        <f aca="false">IFERROR(M117/H117,0)</f>
        <v>0.00171640189923601</v>
      </c>
      <c r="U117" s="17" t="str">
        <f aca="false">IF(F117&lt;1,"Under 1 min",IF(F117&lt;5,"1-5 min",IF(F117&lt;10,"5-10 min",IF(F117&lt;20,"10-20 min","20+ min"))))</f>
        <v>Under 1 min</v>
      </c>
      <c r="V117" s="17" t="str">
        <f aca="false">IF(WEEKDAY(E117,2)&gt;5,"Weekend","Weekday")</f>
        <v>Weekday</v>
      </c>
    </row>
    <row r="118" customFormat="false" ht="15" hidden="false" customHeight="false" outlineLevel="0" collapsed="false">
      <c r="A118" s="17" t="s">
        <v>349</v>
      </c>
      <c r="B118" s="17" t="s">
        <v>350</v>
      </c>
      <c r="C118" s="17" t="s">
        <v>115</v>
      </c>
      <c r="D118" s="17" t="s">
        <v>112</v>
      </c>
      <c r="E118" s="23" t="n">
        <v>46193</v>
      </c>
      <c r="F118" s="24" t="n">
        <v>8.5</v>
      </c>
      <c r="G118" s="18" t="n">
        <v>754799</v>
      </c>
      <c r="H118" s="18" t="n">
        <v>36725</v>
      </c>
      <c r="I118" s="18" t="n">
        <v>1001</v>
      </c>
      <c r="J118" s="18" t="n">
        <v>131</v>
      </c>
      <c r="K118" s="18" t="n">
        <v>159</v>
      </c>
      <c r="L118" s="25" t="n">
        <v>2478</v>
      </c>
      <c r="M118" s="18" t="n">
        <v>204</v>
      </c>
      <c r="N118" s="26" t="n">
        <f aca="false">DATE(YEAR(E118),MONTH(E118),1)</f>
        <v>46174</v>
      </c>
      <c r="O118" s="17" t="str">
        <f aca="false">CHOOSE(WEEKDAY(E118,2),"Mon","Tue","Wed","Thu","Fri","Sat","Sun")</f>
        <v>Sat</v>
      </c>
      <c r="P118" s="21" t="n">
        <f aca="false">IFERROR(H118/G118,0)</f>
        <v>0.0486553373812101</v>
      </c>
      <c r="Q118" s="19" t="n">
        <f aca="false">IFERROR((I118+J118+K118)/H118,0)</f>
        <v>0.0351531654186522</v>
      </c>
      <c r="R118" s="27" t="n">
        <f aca="false">IFERROR(L118*60/H118,0)</f>
        <v>4.04846834581348</v>
      </c>
      <c r="S118" s="21" t="n">
        <f aca="false">IFERROR(R118/F118,0)</f>
        <v>0.476290393625115</v>
      </c>
      <c r="T118" s="20" t="n">
        <f aca="false">IFERROR(M118/H118,0)</f>
        <v>0.00555479918311777</v>
      </c>
      <c r="U118" s="17" t="str">
        <f aca="false">IF(F118&lt;1,"Under 1 min",IF(F118&lt;5,"1-5 min",IF(F118&lt;10,"5-10 min",IF(F118&lt;20,"10-20 min","20+ min"))))</f>
        <v>5-10 min</v>
      </c>
      <c r="V118" s="17" t="str">
        <f aca="false">IF(WEEKDAY(E118,2)&gt;5,"Weekend","Weekday")</f>
        <v>Weekend</v>
      </c>
    </row>
    <row r="119" customFormat="false" ht="15" hidden="false" customHeight="false" outlineLevel="0" collapsed="false">
      <c r="A119" s="17" t="s">
        <v>351</v>
      </c>
      <c r="B119" s="17" t="s">
        <v>352</v>
      </c>
      <c r="C119" s="17" t="s">
        <v>165</v>
      </c>
      <c r="D119" s="17" t="s">
        <v>112</v>
      </c>
      <c r="E119" s="23" t="n">
        <v>46195</v>
      </c>
      <c r="F119" s="24" t="n">
        <v>10.4</v>
      </c>
      <c r="G119" s="18" t="n">
        <v>154248</v>
      </c>
      <c r="H119" s="18" t="n">
        <v>7320</v>
      </c>
      <c r="I119" s="18" t="n">
        <v>391</v>
      </c>
      <c r="J119" s="18" t="n">
        <v>12</v>
      </c>
      <c r="K119" s="18" t="n">
        <v>38</v>
      </c>
      <c r="L119" s="25" t="n">
        <v>537.8</v>
      </c>
      <c r="M119" s="18" t="n">
        <v>22</v>
      </c>
      <c r="N119" s="26" t="n">
        <f aca="false">DATE(YEAR(E119),MONTH(E119),1)</f>
        <v>46174</v>
      </c>
      <c r="O119" s="17" t="str">
        <f aca="false">CHOOSE(WEEKDAY(E119,2),"Mon","Tue","Wed","Thu","Fri","Sat","Sun")</f>
        <v>Mon</v>
      </c>
      <c r="P119" s="21" t="n">
        <f aca="false">IFERROR(H119/G119,0)</f>
        <v>0.0474560448109538</v>
      </c>
      <c r="Q119" s="19" t="n">
        <f aca="false">IFERROR((I119+J119+K119)/H119,0)</f>
        <v>0.0602459016393443</v>
      </c>
      <c r="R119" s="27" t="n">
        <f aca="false">IFERROR(L119*60/H119,0)</f>
        <v>4.40819672131148</v>
      </c>
      <c r="S119" s="21" t="n">
        <f aca="false">IFERROR(R119/F119,0)</f>
        <v>0.423865069356873</v>
      </c>
      <c r="T119" s="20" t="n">
        <f aca="false">IFERROR(M119/H119,0)</f>
        <v>0.00300546448087432</v>
      </c>
      <c r="U119" s="17" t="str">
        <f aca="false">IF(F119&lt;1,"Under 1 min",IF(F119&lt;5,"1-5 min",IF(F119&lt;10,"5-10 min",IF(F119&lt;20,"10-20 min","20+ min"))))</f>
        <v>10-20 min</v>
      </c>
      <c r="V119" s="17" t="str">
        <f aca="false">IF(WEEKDAY(E119,2)&gt;5,"Weekend","Weekday")</f>
        <v>Weekday</v>
      </c>
    </row>
    <row r="120" customFormat="false" ht="15" hidden="false" customHeight="false" outlineLevel="0" collapsed="false">
      <c r="A120" s="17" t="s">
        <v>353</v>
      </c>
      <c r="B120" s="17" t="s">
        <v>354</v>
      </c>
      <c r="C120" s="17" t="s">
        <v>128</v>
      </c>
      <c r="D120" s="17" t="s">
        <v>112</v>
      </c>
      <c r="E120" s="23" t="n">
        <v>46196</v>
      </c>
      <c r="F120" s="24" t="n">
        <v>23.3</v>
      </c>
      <c r="G120" s="18" t="n">
        <v>296916</v>
      </c>
      <c r="H120" s="18" t="n">
        <v>10284</v>
      </c>
      <c r="I120" s="18" t="n">
        <v>374</v>
      </c>
      <c r="J120" s="18" t="n">
        <v>42</v>
      </c>
      <c r="K120" s="18" t="n">
        <v>47</v>
      </c>
      <c r="L120" s="25" t="n">
        <v>1227.9</v>
      </c>
      <c r="M120" s="18" t="n">
        <v>58</v>
      </c>
      <c r="N120" s="26" t="n">
        <f aca="false">DATE(YEAR(E120),MONTH(E120),1)</f>
        <v>46174</v>
      </c>
      <c r="O120" s="17" t="str">
        <f aca="false">CHOOSE(WEEKDAY(E120,2),"Mon","Tue","Wed","Thu","Fri","Sat","Sun")</f>
        <v>Tue</v>
      </c>
      <c r="P120" s="21" t="n">
        <f aca="false">IFERROR(H120/G120,0)</f>
        <v>0.034636058683264</v>
      </c>
      <c r="Q120" s="19" t="n">
        <f aca="false">IFERROR((I120+J120+K120)/H120,0)</f>
        <v>0.0450213924542979</v>
      </c>
      <c r="R120" s="27" t="n">
        <f aca="false">IFERROR(L120*60/H120,0)</f>
        <v>7.16394399066511</v>
      </c>
      <c r="S120" s="21" t="n">
        <f aca="false">IFERROR(R120/F120,0)</f>
        <v>0.307465407324683</v>
      </c>
      <c r="T120" s="20" t="n">
        <f aca="false">IFERROR(M120/H120,0)</f>
        <v>0.00563982886036562</v>
      </c>
      <c r="U120" s="17" t="str">
        <f aca="false">IF(F120&lt;1,"Under 1 min",IF(F120&lt;5,"1-5 min",IF(F120&lt;10,"5-10 min",IF(F120&lt;20,"10-20 min","20+ min"))))</f>
        <v>20+ min</v>
      </c>
      <c r="V120" s="17" t="str">
        <f aca="false">IF(WEEKDAY(E120,2)&gt;5,"Weekend","Weekday")</f>
        <v>Weekday</v>
      </c>
    </row>
    <row r="121" customFormat="false" ht="15" hidden="false" customHeight="false" outlineLevel="0" collapsed="false">
      <c r="A121" s="17" t="s">
        <v>355</v>
      </c>
      <c r="B121" s="17" t="s">
        <v>356</v>
      </c>
      <c r="C121" s="17" t="s">
        <v>115</v>
      </c>
      <c r="D121" s="17" t="s">
        <v>112</v>
      </c>
      <c r="E121" s="23" t="n">
        <v>46202</v>
      </c>
      <c r="F121" s="24" t="n">
        <v>11.1</v>
      </c>
      <c r="G121" s="18" t="n">
        <v>756101</v>
      </c>
      <c r="H121" s="18" t="n">
        <v>37864</v>
      </c>
      <c r="I121" s="18" t="n">
        <v>1929</v>
      </c>
      <c r="J121" s="18" t="n">
        <v>132</v>
      </c>
      <c r="K121" s="18" t="n">
        <v>112</v>
      </c>
      <c r="L121" s="25" t="n">
        <v>3144.7</v>
      </c>
      <c r="M121" s="18" t="n">
        <v>197</v>
      </c>
      <c r="N121" s="26" t="n">
        <f aca="false">DATE(YEAR(E121),MONTH(E121),1)</f>
        <v>46174</v>
      </c>
      <c r="O121" s="17" t="str">
        <f aca="false">CHOOSE(WEEKDAY(E121,2),"Mon","Tue","Wed","Thu","Fri","Sat","Sun")</f>
        <v>Mon</v>
      </c>
      <c r="P121" s="21" t="n">
        <f aca="false">IFERROR(H121/G121,0)</f>
        <v>0.0500779657744137</v>
      </c>
      <c r="Q121" s="19" t="n">
        <f aca="false">IFERROR((I121+J121+K121)/H121,0)</f>
        <v>0.0573896049017537</v>
      </c>
      <c r="R121" s="27" t="n">
        <f aca="false">IFERROR(L121*60/H121,0)</f>
        <v>4.98315022184661</v>
      </c>
      <c r="S121" s="21" t="n">
        <f aca="false">IFERROR(R121/F121,0)</f>
        <v>0.448932452418613</v>
      </c>
      <c r="T121" s="20" t="n">
        <f aca="false">IFERROR(M121/H121,0)</f>
        <v>0.00520283118529474</v>
      </c>
      <c r="U121" s="17" t="str">
        <f aca="false">IF(F121&lt;1,"Under 1 min",IF(F121&lt;5,"1-5 min",IF(F121&lt;10,"5-10 min",IF(F121&lt;20,"10-20 min","20+ min"))))</f>
        <v>10-20 min</v>
      </c>
      <c r="V121" s="17" t="str">
        <f aca="false">IF(WEEKDAY(E121,2)&gt;5,"Weekend","Weekday")</f>
        <v>Weekday</v>
      </c>
    </row>
    <row r="122" customFormat="false" ht="15" hidden="false" customHeight="false" outlineLevel="0" collapsed="false">
      <c r="A122" s="17" t="s">
        <v>357</v>
      </c>
      <c r="B122" s="17" t="s">
        <v>358</v>
      </c>
      <c r="C122" s="17" t="s">
        <v>118</v>
      </c>
      <c r="D122" s="17" t="s">
        <v>112</v>
      </c>
      <c r="E122" s="23" t="n">
        <v>46210</v>
      </c>
      <c r="F122" s="24" t="n">
        <v>6.8</v>
      </c>
      <c r="G122" s="18" t="n">
        <v>759522</v>
      </c>
      <c r="H122" s="18" t="n">
        <v>36628</v>
      </c>
      <c r="I122" s="18" t="n">
        <v>1674</v>
      </c>
      <c r="J122" s="18" t="n">
        <v>134</v>
      </c>
      <c r="K122" s="18" t="n">
        <v>177</v>
      </c>
      <c r="L122" s="25" t="n">
        <v>1517.6</v>
      </c>
      <c r="M122" s="18" t="n">
        <v>123</v>
      </c>
      <c r="N122" s="26" t="n">
        <f aca="false">DATE(YEAR(E122),MONTH(E122),1)</f>
        <v>46204</v>
      </c>
      <c r="O122" s="17" t="str">
        <f aca="false">CHOOSE(WEEKDAY(E122,2),"Mon","Tue","Wed","Thu","Fri","Sat","Sun")</f>
        <v>Tue</v>
      </c>
      <c r="P122" s="21" t="n">
        <f aca="false">IFERROR(H122/G122,0)</f>
        <v>0.0482250678716351</v>
      </c>
      <c r="Q122" s="19" t="n">
        <f aca="false">IFERROR((I122+J122+K122)/H122,0)</f>
        <v>0.0541935131593317</v>
      </c>
      <c r="R122" s="27" t="n">
        <f aca="false">IFERROR(L122*60/H122,0)</f>
        <v>2.4859670197663</v>
      </c>
      <c r="S122" s="21" t="n">
        <f aca="false">IFERROR(R122/F122,0)</f>
        <v>0.36558338525975</v>
      </c>
      <c r="T122" s="20" t="n">
        <f aca="false">IFERROR(M122/H122,0)</f>
        <v>0.00335808670962105</v>
      </c>
      <c r="U122" s="17" t="str">
        <f aca="false">IF(F122&lt;1,"Under 1 min",IF(F122&lt;5,"1-5 min",IF(F122&lt;10,"5-10 min",IF(F122&lt;20,"10-20 min","20+ min"))))</f>
        <v>5-10 min</v>
      </c>
      <c r="V122" s="17" t="str">
        <f aca="false">IF(WEEKDAY(E122,2)&gt;5,"Weekend","Weekday")</f>
        <v>Weekday</v>
      </c>
    </row>
    <row r="123" customFormat="false" ht="15" hidden="false" customHeight="false" outlineLevel="0" collapsed="false">
      <c r="A123" s="17" t="s">
        <v>359</v>
      </c>
      <c r="B123" s="17" t="s">
        <v>360</v>
      </c>
      <c r="C123" s="17" t="s">
        <v>128</v>
      </c>
      <c r="D123" s="17" t="s">
        <v>121</v>
      </c>
      <c r="E123" s="23" t="n">
        <v>46210</v>
      </c>
      <c r="F123" s="24" t="n">
        <v>0.9</v>
      </c>
      <c r="G123" s="18" t="n">
        <v>472876</v>
      </c>
      <c r="H123" s="18" t="n">
        <v>42156</v>
      </c>
      <c r="I123" s="18" t="n">
        <v>1014</v>
      </c>
      <c r="J123" s="18" t="n">
        <v>80</v>
      </c>
      <c r="K123" s="18" t="n">
        <v>288</v>
      </c>
      <c r="L123" s="25" t="n">
        <v>463.8</v>
      </c>
      <c r="M123" s="18" t="n">
        <v>89</v>
      </c>
      <c r="N123" s="26" t="n">
        <f aca="false">DATE(YEAR(E123),MONTH(E123),1)</f>
        <v>46204</v>
      </c>
      <c r="O123" s="17" t="str">
        <f aca="false">CHOOSE(WEEKDAY(E123,2),"Mon","Tue","Wed","Thu","Fri","Sat","Sun")</f>
        <v>Tue</v>
      </c>
      <c r="P123" s="21" t="n">
        <f aca="false">IFERROR(H123/G123,0)</f>
        <v>0.0891481064803458</v>
      </c>
      <c r="Q123" s="19" t="n">
        <f aca="false">IFERROR((I123+J123+K123)/H123,0)</f>
        <v>0.0327829964892305</v>
      </c>
      <c r="R123" s="27" t="n">
        <f aca="false">IFERROR(L123*60/H123,0)</f>
        <v>0.660119555935098</v>
      </c>
      <c r="S123" s="21" t="n">
        <f aca="false">IFERROR(R123/F123,0)</f>
        <v>0.73346617326122</v>
      </c>
      <c r="T123" s="20" t="n">
        <f aca="false">IFERROR(M123/H123,0)</f>
        <v>0.00211120599677389</v>
      </c>
      <c r="U123" s="17" t="str">
        <f aca="false">IF(F123&lt;1,"Under 1 min",IF(F123&lt;5,"1-5 min",IF(F123&lt;10,"5-10 min",IF(F123&lt;20,"10-20 min","20+ min"))))</f>
        <v>Under 1 min</v>
      </c>
      <c r="V123" s="17" t="str">
        <f aca="false">IF(WEEKDAY(E123,2)&gt;5,"Weekend","Weekday")</f>
        <v>Weekday</v>
      </c>
    </row>
    <row r="124" customFormat="false" ht="15" hidden="false" customHeight="false" outlineLevel="0" collapsed="false">
      <c r="A124" s="17" t="s">
        <v>361</v>
      </c>
      <c r="B124" s="17" t="s">
        <v>362</v>
      </c>
      <c r="C124" s="17" t="s">
        <v>111</v>
      </c>
      <c r="D124" s="17" t="s">
        <v>121</v>
      </c>
      <c r="E124" s="23" t="n">
        <v>46213</v>
      </c>
      <c r="F124" s="24" t="n">
        <v>0.73</v>
      </c>
      <c r="G124" s="18" t="n">
        <v>1383842</v>
      </c>
      <c r="H124" s="18" t="n">
        <v>96669</v>
      </c>
      <c r="I124" s="18" t="n">
        <v>4454</v>
      </c>
      <c r="J124" s="18" t="n">
        <v>29</v>
      </c>
      <c r="K124" s="18" t="n">
        <v>657</v>
      </c>
      <c r="L124" s="25" t="n">
        <v>958.5</v>
      </c>
      <c r="M124" s="18" t="n">
        <v>238</v>
      </c>
      <c r="N124" s="26" t="n">
        <f aca="false">DATE(YEAR(E124),MONTH(E124),1)</f>
        <v>46204</v>
      </c>
      <c r="O124" s="17" t="str">
        <f aca="false">CHOOSE(WEEKDAY(E124,2),"Mon","Tue","Wed","Thu","Fri","Sat","Sun")</f>
        <v>Fri</v>
      </c>
      <c r="P124" s="21" t="n">
        <f aca="false">IFERROR(H124/G124,0)</f>
        <v>0.06985551818777</v>
      </c>
      <c r="Q124" s="19" t="n">
        <f aca="false">IFERROR((I124+J124+K124)/H124,0)</f>
        <v>0.053171130352026</v>
      </c>
      <c r="R124" s="27" t="n">
        <f aca="false">IFERROR(L124*60/H124,0)</f>
        <v>0.5949166744251</v>
      </c>
      <c r="S124" s="21" t="n">
        <f aca="false">IFERROR(R124/F124,0)</f>
        <v>0.814954348527535</v>
      </c>
      <c r="T124" s="20" t="n">
        <f aca="false">IFERROR(M124/H124,0)</f>
        <v>0.00246200953770081</v>
      </c>
      <c r="U124" s="17" t="str">
        <f aca="false">IF(F124&lt;1,"Under 1 min",IF(F124&lt;5,"1-5 min",IF(F124&lt;10,"5-10 min",IF(F124&lt;20,"10-20 min","20+ min"))))</f>
        <v>Under 1 min</v>
      </c>
      <c r="V124" s="17" t="str">
        <f aca="false">IF(WEEKDAY(E124,2)&gt;5,"Weekend","Weekday")</f>
        <v>Weekday</v>
      </c>
    </row>
    <row r="125" customFormat="false" ht="15" hidden="false" customHeight="false" outlineLevel="0" collapsed="false">
      <c r="A125" s="17" t="s">
        <v>363</v>
      </c>
      <c r="B125" s="17" t="s">
        <v>364</v>
      </c>
      <c r="C125" s="17" t="s">
        <v>111</v>
      </c>
      <c r="D125" s="17" t="s">
        <v>112</v>
      </c>
      <c r="E125" s="23" t="n">
        <v>46218</v>
      </c>
      <c r="F125" s="24" t="n">
        <v>12.4</v>
      </c>
      <c r="G125" s="18" t="n">
        <v>928635</v>
      </c>
      <c r="H125" s="18" t="n">
        <v>53705</v>
      </c>
      <c r="I125" s="18" t="n">
        <v>2305</v>
      </c>
      <c r="J125" s="18" t="n">
        <v>210</v>
      </c>
      <c r="K125" s="18" t="n">
        <v>120</v>
      </c>
      <c r="L125" s="25" t="n">
        <v>5695.5</v>
      </c>
      <c r="M125" s="18" t="n">
        <v>228</v>
      </c>
      <c r="N125" s="26" t="n">
        <f aca="false">DATE(YEAR(E125),MONTH(E125),1)</f>
        <v>46204</v>
      </c>
      <c r="O125" s="17" t="str">
        <f aca="false">CHOOSE(WEEKDAY(E125,2),"Mon","Tue","Wed","Thu","Fri","Sat","Sun")</f>
        <v>Wed</v>
      </c>
      <c r="P125" s="21" t="n">
        <f aca="false">IFERROR(H125/G125,0)</f>
        <v>0.0578321945651413</v>
      </c>
      <c r="Q125" s="19" t="n">
        <f aca="false">IFERROR((I125+J125+K125)/H125,0)</f>
        <v>0.0490643329298948</v>
      </c>
      <c r="R125" s="27" t="n">
        <f aca="false">IFERROR(L125*60/H125,0)</f>
        <v>6.36309468392142</v>
      </c>
      <c r="S125" s="21" t="n">
        <f aca="false">IFERROR(R125/F125,0)</f>
        <v>0.513152797090437</v>
      </c>
      <c r="T125" s="20" t="n">
        <f aca="false">IFERROR(M125/H125,0)</f>
        <v>0.00424541476585048</v>
      </c>
      <c r="U125" s="17" t="str">
        <f aca="false">IF(F125&lt;1,"Under 1 min",IF(F125&lt;5,"1-5 min",IF(F125&lt;10,"5-10 min",IF(F125&lt;20,"10-20 min","20+ min"))))</f>
        <v>10-20 min</v>
      </c>
      <c r="V125" s="17" t="str">
        <f aca="false">IF(WEEKDAY(E125,2)&gt;5,"Weekend","Weekday")</f>
        <v>Weekday</v>
      </c>
    </row>
    <row r="126" customFormat="false" ht="15" hidden="false" customHeight="false" outlineLevel="0" collapsed="false">
      <c r="A126" s="17" t="s">
        <v>365</v>
      </c>
      <c r="B126" s="17" t="s">
        <v>366</v>
      </c>
      <c r="C126" s="17" t="s">
        <v>111</v>
      </c>
      <c r="D126" s="17" t="s">
        <v>121</v>
      </c>
      <c r="E126" s="23" t="n">
        <v>46220</v>
      </c>
      <c r="F126" s="24" t="n">
        <v>0.49</v>
      </c>
      <c r="G126" s="18" t="n">
        <v>689402</v>
      </c>
      <c r="H126" s="18" t="n">
        <v>67044</v>
      </c>
      <c r="I126" s="18" t="n">
        <v>2559</v>
      </c>
      <c r="J126" s="18" t="n">
        <v>94</v>
      </c>
      <c r="K126" s="18" t="n">
        <v>360</v>
      </c>
      <c r="L126" s="25" t="n">
        <v>463.5</v>
      </c>
      <c r="M126" s="18" t="n">
        <v>166</v>
      </c>
      <c r="N126" s="26" t="n">
        <f aca="false">DATE(YEAR(E126),MONTH(E126),1)</f>
        <v>46204</v>
      </c>
      <c r="O126" s="17" t="str">
        <f aca="false">CHOOSE(WEEKDAY(E126,2),"Mon","Tue","Wed","Thu","Fri","Sat","Sun")</f>
        <v>Fri</v>
      </c>
      <c r="P126" s="21" t="n">
        <f aca="false">IFERROR(H126/G126,0)</f>
        <v>0.097249500291557</v>
      </c>
      <c r="Q126" s="19" t="n">
        <f aca="false">IFERROR((I126+J126+K126)/H126,0)</f>
        <v>0.0449406360002387</v>
      </c>
      <c r="R126" s="27" t="n">
        <f aca="false">IFERROR(L126*60/H126,0)</f>
        <v>0.414802219437981</v>
      </c>
      <c r="S126" s="21" t="n">
        <f aca="false">IFERROR(R126/F126,0)</f>
        <v>0.846535141710165</v>
      </c>
      <c r="T126" s="20" t="n">
        <f aca="false">IFERROR(M126/H126,0)</f>
        <v>0.00247598591969453</v>
      </c>
      <c r="U126" s="17" t="str">
        <f aca="false">IF(F126&lt;1,"Under 1 min",IF(F126&lt;5,"1-5 min",IF(F126&lt;10,"5-10 min",IF(F126&lt;20,"10-20 min","20+ min"))))</f>
        <v>Under 1 min</v>
      </c>
      <c r="V126" s="17" t="str">
        <f aca="false">IF(WEEKDAY(E126,2)&gt;5,"Weekend","Weekday")</f>
        <v>Weekday</v>
      </c>
    </row>
    <row r="127" customFormat="false" ht="15" hidden="false" customHeight="false" outlineLevel="0" collapsed="false">
      <c r="A127" s="17" t="s">
        <v>367</v>
      </c>
      <c r="B127" s="17" t="s">
        <v>368</v>
      </c>
      <c r="C127" s="17" t="s">
        <v>111</v>
      </c>
      <c r="D127" s="17" t="s">
        <v>112</v>
      </c>
      <c r="E127" s="23" t="n">
        <v>46221</v>
      </c>
      <c r="F127" s="24" t="n">
        <v>16.5</v>
      </c>
      <c r="G127" s="18" t="n">
        <v>619885</v>
      </c>
      <c r="H127" s="18" t="n">
        <v>25110</v>
      </c>
      <c r="I127" s="18" t="n">
        <v>1148</v>
      </c>
      <c r="J127" s="18" t="n">
        <v>70</v>
      </c>
      <c r="K127" s="18" t="n">
        <v>105</v>
      </c>
      <c r="L127" s="25" t="n">
        <v>2992.2</v>
      </c>
      <c r="M127" s="18" t="n">
        <v>164</v>
      </c>
      <c r="N127" s="26" t="n">
        <f aca="false">DATE(YEAR(E127),MONTH(E127),1)</f>
        <v>46204</v>
      </c>
      <c r="O127" s="17" t="str">
        <f aca="false">CHOOSE(WEEKDAY(E127,2),"Mon","Tue","Wed","Thu","Fri","Sat","Sun")</f>
        <v>Sat</v>
      </c>
      <c r="P127" s="21" t="n">
        <f aca="false">IFERROR(H127/G127,0)</f>
        <v>0.0405075134904055</v>
      </c>
      <c r="Q127" s="19" t="n">
        <f aca="false">IFERROR((I127+J127+K127)/H127,0)</f>
        <v>0.0526881720430108</v>
      </c>
      <c r="R127" s="27" t="n">
        <f aca="false">IFERROR(L127*60/H127,0)</f>
        <v>7.14982078853047</v>
      </c>
      <c r="S127" s="21" t="n">
        <f aca="false">IFERROR(R127/F127,0)</f>
        <v>0.433322472032149</v>
      </c>
      <c r="T127" s="20" t="n">
        <f aca="false">IFERROR(M127/H127,0)</f>
        <v>0.00653126244524094</v>
      </c>
      <c r="U127" s="17" t="str">
        <f aca="false">IF(F127&lt;1,"Under 1 min",IF(F127&lt;5,"1-5 min",IF(F127&lt;10,"5-10 min",IF(F127&lt;20,"10-20 min","20+ min"))))</f>
        <v>10-20 min</v>
      </c>
      <c r="V127" s="17" t="str">
        <f aca="false">IF(WEEKDAY(E127,2)&gt;5,"Weekend","Weekday")</f>
        <v>Weekend</v>
      </c>
    </row>
    <row r="128" customFormat="false" ht="15" hidden="false" customHeight="false" outlineLevel="0" collapsed="false">
      <c r="A128" s="17" t="s">
        <v>369</v>
      </c>
      <c r="B128" s="17" t="s">
        <v>370</v>
      </c>
      <c r="C128" s="17" t="s">
        <v>128</v>
      </c>
      <c r="D128" s="17" t="s">
        <v>112</v>
      </c>
      <c r="E128" s="23" t="n">
        <v>46222</v>
      </c>
      <c r="F128" s="24" t="n">
        <v>17</v>
      </c>
      <c r="G128" s="18" t="n">
        <v>418459</v>
      </c>
      <c r="H128" s="18" t="n">
        <v>17590</v>
      </c>
      <c r="I128" s="18" t="n">
        <v>644</v>
      </c>
      <c r="J128" s="18" t="n">
        <v>63</v>
      </c>
      <c r="K128" s="18" t="n">
        <v>76</v>
      </c>
      <c r="L128" s="25" t="n">
        <v>1917.6</v>
      </c>
      <c r="M128" s="18" t="n">
        <v>118</v>
      </c>
      <c r="N128" s="26" t="n">
        <f aca="false">DATE(YEAR(E128),MONTH(E128),1)</f>
        <v>46204</v>
      </c>
      <c r="O128" s="17" t="str">
        <f aca="false">CHOOSE(WEEKDAY(E128,2),"Mon","Tue","Wed","Thu","Fri","Sat","Sun")</f>
        <v>Sun</v>
      </c>
      <c r="P128" s="21" t="n">
        <f aca="false">IFERROR(H128/G128,0)</f>
        <v>0.042035181463417</v>
      </c>
      <c r="Q128" s="19" t="n">
        <f aca="false">IFERROR((I128+J128+K128)/H128,0)</f>
        <v>0.0445139283683911</v>
      </c>
      <c r="R128" s="27" t="n">
        <f aca="false">IFERROR(L128*60/H128,0)</f>
        <v>6.54098919840819</v>
      </c>
      <c r="S128" s="21" t="n">
        <f aca="false">IFERROR(R128/F128,0)</f>
        <v>0.384764070494599</v>
      </c>
      <c r="T128" s="20" t="n">
        <f aca="false">IFERROR(M128/H128,0)</f>
        <v>0.00670835702103468</v>
      </c>
      <c r="U128" s="17" t="str">
        <f aca="false">IF(F128&lt;1,"Under 1 min",IF(F128&lt;5,"1-5 min",IF(F128&lt;10,"5-10 min",IF(F128&lt;20,"10-20 min","20+ min"))))</f>
        <v>10-20 min</v>
      </c>
      <c r="V128" s="17" t="str">
        <f aca="false">IF(WEEKDAY(E128,2)&gt;5,"Weekend","Weekday")</f>
        <v>Weekend</v>
      </c>
    </row>
    <row r="129" customFormat="false" ht="15" hidden="false" customHeight="false" outlineLevel="0" collapsed="false">
      <c r="A129" s="17" t="s">
        <v>371</v>
      </c>
      <c r="B129" s="17" t="s">
        <v>372</v>
      </c>
      <c r="C129" s="17" t="s">
        <v>118</v>
      </c>
      <c r="D129" s="17" t="s">
        <v>112</v>
      </c>
      <c r="E129" s="23" t="n">
        <v>46226</v>
      </c>
      <c r="F129" s="24" t="n">
        <v>8.1</v>
      </c>
      <c r="G129" s="18" t="n">
        <v>961274</v>
      </c>
      <c r="H129" s="18" t="n">
        <v>49877</v>
      </c>
      <c r="I129" s="18" t="n">
        <v>2293</v>
      </c>
      <c r="J129" s="18" t="n">
        <v>157</v>
      </c>
      <c r="K129" s="18" t="n">
        <v>203</v>
      </c>
      <c r="L129" s="25" t="n">
        <v>3143.8</v>
      </c>
      <c r="M129" s="18" t="n">
        <v>237</v>
      </c>
      <c r="N129" s="26" t="n">
        <f aca="false">DATE(YEAR(E129),MONTH(E129),1)</f>
        <v>46204</v>
      </c>
      <c r="O129" s="17" t="str">
        <f aca="false">CHOOSE(WEEKDAY(E129,2),"Mon","Tue","Wed","Thu","Fri","Sat","Sun")</f>
        <v>Thu</v>
      </c>
      <c r="P129" s="21" t="n">
        <f aca="false">IFERROR(H129/G129,0)</f>
        <v>0.0518863508219301</v>
      </c>
      <c r="Q129" s="19" t="n">
        <f aca="false">IFERROR((I129+J129+K129)/H129,0)</f>
        <v>0.0531908494897448</v>
      </c>
      <c r="R129" s="27" t="n">
        <f aca="false">IFERROR(L129*60/H129,0)</f>
        <v>3.78186338392445</v>
      </c>
      <c r="S129" s="21" t="n">
        <f aca="false">IFERROR(R129/F129,0)</f>
        <v>0.466896714064747</v>
      </c>
      <c r="T129" s="20" t="n">
        <f aca="false">IFERROR(M129/H129,0)</f>
        <v>0.00475168915532209</v>
      </c>
      <c r="U129" s="17" t="str">
        <f aca="false">IF(F129&lt;1,"Under 1 min",IF(F129&lt;5,"1-5 min",IF(F129&lt;10,"5-10 min",IF(F129&lt;20,"10-20 min","20+ min"))))</f>
        <v>5-10 min</v>
      </c>
      <c r="V129" s="17" t="str">
        <f aca="false">IF(WEEKDAY(E129,2)&gt;5,"Weekend","Weekday")</f>
        <v>Weekday</v>
      </c>
    </row>
    <row r="130" customFormat="false" ht="15" hidden="false" customHeight="false" outlineLevel="0" collapsed="false">
      <c r="A130" s="17" t="s">
        <v>373</v>
      </c>
      <c r="B130" s="17" t="s">
        <v>374</v>
      </c>
      <c r="C130" s="17" t="s">
        <v>111</v>
      </c>
      <c r="D130" s="17" t="s">
        <v>112</v>
      </c>
      <c r="E130" s="23" t="n">
        <v>46228</v>
      </c>
      <c r="F130" s="24" t="n">
        <v>9.8</v>
      </c>
      <c r="G130" s="18" t="n">
        <v>826529</v>
      </c>
      <c r="H130" s="18" t="n">
        <v>48095</v>
      </c>
      <c r="I130" s="18" t="n">
        <v>1665</v>
      </c>
      <c r="J130" s="18" t="n">
        <v>172</v>
      </c>
      <c r="K130" s="18" t="n">
        <v>258</v>
      </c>
      <c r="L130" s="25" t="n">
        <v>3976.1</v>
      </c>
      <c r="M130" s="18" t="n">
        <v>188</v>
      </c>
      <c r="N130" s="26" t="n">
        <f aca="false">DATE(YEAR(E130),MONTH(E130),1)</f>
        <v>46204</v>
      </c>
      <c r="O130" s="17" t="str">
        <f aca="false">CHOOSE(WEEKDAY(E130,2),"Mon","Tue","Wed","Thu","Fri","Sat","Sun")</f>
        <v>Sat</v>
      </c>
      <c r="P130" s="21" t="n">
        <f aca="false">IFERROR(H130/G130,0)</f>
        <v>0.0581891258503936</v>
      </c>
      <c r="Q130" s="19" t="n">
        <f aca="false">IFERROR((I130+J130+K130)/H130,0)</f>
        <v>0.0435596215822851</v>
      </c>
      <c r="R130" s="27" t="n">
        <f aca="false">IFERROR(L130*60/H130,0)</f>
        <v>4.96030772429567</v>
      </c>
      <c r="S130" s="21" t="n">
        <f aca="false">IFERROR(R130/F130,0)</f>
        <v>0.506153849417925</v>
      </c>
      <c r="T130" s="20" t="n">
        <f aca="false">IFERROR(M130/H130,0)</f>
        <v>0.00390893024222892</v>
      </c>
      <c r="U130" s="17" t="str">
        <f aca="false">IF(F130&lt;1,"Under 1 min",IF(F130&lt;5,"1-5 min",IF(F130&lt;10,"5-10 min",IF(F130&lt;20,"10-20 min","20+ min"))))</f>
        <v>5-10 min</v>
      </c>
      <c r="V130" s="17" t="str">
        <f aca="false">IF(WEEKDAY(E130,2)&gt;5,"Weekend","Weekday")</f>
        <v>Weekend</v>
      </c>
    </row>
    <row r="131" customFormat="false" ht="15" hidden="false" customHeight="false" outlineLevel="0" collapsed="false">
      <c r="A131" s="17" t="s">
        <v>375</v>
      </c>
      <c r="B131" s="17" t="s">
        <v>376</v>
      </c>
      <c r="C131" s="17" t="s">
        <v>111</v>
      </c>
      <c r="D131" s="17" t="s">
        <v>112</v>
      </c>
      <c r="E131" s="23" t="n">
        <v>46232</v>
      </c>
      <c r="F131" s="24" t="n">
        <v>16.9</v>
      </c>
      <c r="G131" s="18" t="n">
        <v>1046074</v>
      </c>
      <c r="H131" s="18" t="n">
        <v>66306</v>
      </c>
      <c r="I131" s="18" t="n">
        <v>2859</v>
      </c>
      <c r="J131" s="18" t="n">
        <v>298</v>
      </c>
      <c r="K131" s="18" t="n">
        <v>287</v>
      </c>
      <c r="L131" s="25" t="n">
        <v>4813.7</v>
      </c>
      <c r="M131" s="18" t="n">
        <v>334</v>
      </c>
      <c r="N131" s="26" t="n">
        <f aca="false">DATE(YEAR(E131),MONTH(E131),1)</f>
        <v>46204</v>
      </c>
      <c r="O131" s="17" t="str">
        <f aca="false">CHOOSE(WEEKDAY(E131,2),"Mon","Tue","Wed","Thu","Fri","Sat","Sun")</f>
        <v>Wed</v>
      </c>
      <c r="P131" s="21" t="n">
        <f aca="false">IFERROR(H131/G131,0)</f>
        <v>0.0633855731047708</v>
      </c>
      <c r="Q131" s="19" t="n">
        <f aca="false">IFERROR((I131+J131+K131)/H131,0)</f>
        <v>0.0519410008144059</v>
      </c>
      <c r="R131" s="27" t="n">
        <f aca="false">IFERROR(L131*60/H131,0)</f>
        <v>4.35589539408198</v>
      </c>
      <c r="S131" s="21" t="n">
        <f aca="false">IFERROR(R131/F131,0)</f>
        <v>0.25774528959065</v>
      </c>
      <c r="T131" s="20" t="n">
        <f aca="false">IFERROR(M131/H131,0)</f>
        <v>0.00503725153078153</v>
      </c>
      <c r="U131" s="17" t="str">
        <f aca="false">IF(F131&lt;1,"Under 1 min",IF(F131&lt;5,"1-5 min",IF(F131&lt;10,"5-10 min",IF(F131&lt;20,"10-20 min","20+ min"))))</f>
        <v>10-20 min</v>
      </c>
      <c r="V131" s="17" t="str">
        <f aca="false">IF(WEEKDAY(E131,2)&gt;5,"Weekend","Weekday")</f>
        <v>Weekday</v>
      </c>
    </row>
    <row r="132" customFormat="false" ht="15" hidden="false" customHeight="false" outlineLevel="0" collapsed="false">
      <c r="A132" s="17" t="s">
        <v>377</v>
      </c>
      <c r="B132" s="17" t="s">
        <v>378</v>
      </c>
      <c r="C132" s="17" t="s">
        <v>118</v>
      </c>
      <c r="D132" s="17" t="s">
        <v>112</v>
      </c>
      <c r="E132" s="23" t="n">
        <v>46233</v>
      </c>
      <c r="F132" s="24" t="n">
        <v>10.4</v>
      </c>
      <c r="G132" s="18" t="n">
        <v>554699</v>
      </c>
      <c r="H132" s="18" t="n">
        <v>33990</v>
      </c>
      <c r="I132" s="18" t="n">
        <v>1434</v>
      </c>
      <c r="J132" s="18" t="n">
        <v>117</v>
      </c>
      <c r="K132" s="18" t="n">
        <v>152</v>
      </c>
      <c r="L132" s="25" t="n">
        <v>2744.7</v>
      </c>
      <c r="M132" s="18" t="n">
        <v>134</v>
      </c>
      <c r="N132" s="26" t="n">
        <f aca="false">DATE(YEAR(E132),MONTH(E132),1)</f>
        <v>46204</v>
      </c>
      <c r="O132" s="17" t="str">
        <f aca="false">CHOOSE(WEEKDAY(E132,2),"Mon","Tue","Wed","Thu","Fri","Sat","Sun")</f>
        <v>Thu</v>
      </c>
      <c r="P132" s="21" t="n">
        <f aca="false">IFERROR(H132/G132,0)</f>
        <v>0.061276476070806</v>
      </c>
      <c r="Q132" s="19" t="n">
        <f aca="false">IFERROR((I132+J132+K132)/H132,0)</f>
        <v>0.0501029714621948</v>
      </c>
      <c r="R132" s="27" t="n">
        <f aca="false">IFERROR(L132*60/H132,0)</f>
        <v>4.845013239188</v>
      </c>
      <c r="S132" s="21" t="n">
        <f aca="false">IFERROR(R132/F132,0)</f>
        <v>0.46586665761423</v>
      </c>
      <c r="T132" s="20" t="n">
        <f aca="false">IFERROR(M132/H132,0)</f>
        <v>0.00394233598117093</v>
      </c>
      <c r="U132" s="17" t="str">
        <f aca="false">IF(F132&lt;1,"Under 1 min",IF(F132&lt;5,"1-5 min",IF(F132&lt;10,"5-10 min",IF(F132&lt;20,"10-20 min","20+ min"))))</f>
        <v>10-20 min</v>
      </c>
      <c r="V132" s="17" t="str">
        <f aca="false">IF(WEEKDAY(E132,2)&gt;5,"Weekend","Weekday")</f>
        <v>Weekday</v>
      </c>
    </row>
    <row r="133" customFormat="false" ht="15" hidden="false" customHeight="false" outlineLevel="0" collapsed="false">
      <c r="A133" s="17" t="s">
        <v>379</v>
      </c>
      <c r="B133" s="17" t="s">
        <v>380</v>
      </c>
      <c r="C133" s="17" t="s">
        <v>111</v>
      </c>
      <c r="D133" s="17" t="s">
        <v>112</v>
      </c>
      <c r="E133" s="23" t="n">
        <v>46234</v>
      </c>
      <c r="F133" s="24" t="n">
        <v>17.7</v>
      </c>
      <c r="G133" s="18" t="n">
        <v>906348</v>
      </c>
      <c r="H133" s="18" t="n">
        <v>49595</v>
      </c>
      <c r="I133" s="18" t="n">
        <v>1782</v>
      </c>
      <c r="J133" s="18" t="n">
        <v>185</v>
      </c>
      <c r="K133" s="18" t="n">
        <v>181</v>
      </c>
      <c r="L133" s="25" t="n">
        <v>5278</v>
      </c>
      <c r="M133" s="18" t="n">
        <v>249</v>
      </c>
      <c r="N133" s="26" t="n">
        <f aca="false">DATE(YEAR(E133),MONTH(E133),1)</f>
        <v>46204</v>
      </c>
      <c r="O133" s="17" t="str">
        <f aca="false">CHOOSE(WEEKDAY(E133,2),"Mon","Tue","Wed","Thu","Fri","Sat","Sun")</f>
        <v>Fri</v>
      </c>
      <c r="P133" s="21" t="n">
        <f aca="false">IFERROR(H133/G133,0)</f>
        <v>0.0547195999770508</v>
      </c>
      <c r="Q133" s="19" t="n">
        <f aca="false">IFERROR((I133+J133+K133)/H133,0)</f>
        <v>0.0433108176227442</v>
      </c>
      <c r="R133" s="27" t="n">
        <f aca="false">IFERROR(L133*60/H133,0)</f>
        <v>6.38532110091743</v>
      </c>
      <c r="S133" s="21" t="n">
        <f aca="false">IFERROR(R133/F133,0)</f>
        <v>0.360752604571606</v>
      </c>
      <c r="T133" s="20" t="n">
        <f aca="false">IFERROR(M133/H133,0)</f>
        <v>0.00502066740598851</v>
      </c>
      <c r="U133" s="17" t="str">
        <f aca="false">IF(F133&lt;1,"Under 1 min",IF(F133&lt;5,"1-5 min",IF(F133&lt;10,"5-10 min",IF(F133&lt;20,"10-20 min","20+ min"))))</f>
        <v>10-20 min</v>
      </c>
      <c r="V133" s="17" t="str">
        <f aca="false">IF(WEEKDAY(E133,2)&gt;5,"Weekend","Weekday")</f>
        <v>Weekday</v>
      </c>
    </row>
    <row r="134" customFormat="false" ht="15" hidden="false" customHeight="false" outlineLevel="0" collapsed="false">
      <c r="A134" s="17" t="s">
        <v>381</v>
      </c>
      <c r="B134" s="17" t="s">
        <v>382</v>
      </c>
      <c r="C134" s="17" t="s">
        <v>111</v>
      </c>
      <c r="D134" s="17" t="s">
        <v>112</v>
      </c>
      <c r="E134" s="23" t="n">
        <v>46237</v>
      </c>
      <c r="F134" s="24" t="n">
        <v>12.6</v>
      </c>
      <c r="G134" s="18" t="n">
        <v>1119030</v>
      </c>
      <c r="H134" s="18" t="n">
        <v>66699</v>
      </c>
      <c r="I134" s="18" t="n">
        <v>2906</v>
      </c>
      <c r="J134" s="18" t="n">
        <v>174</v>
      </c>
      <c r="K134" s="18" t="n">
        <v>147</v>
      </c>
      <c r="L134" s="25" t="n">
        <v>5781.1</v>
      </c>
      <c r="M134" s="18" t="n">
        <v>326</v>
      </c>
      <c r="N134" s="26" t="n">
        <f aca="false">DATE(YEAR(E134),MONTH(E134),1)</f>
        <v>46235</v>
      </c>
      <c r="O134" s="17" t="str">
        <f aca="false">CHOOSE(WEEKDAY(E134,2),"Mon","Tue","Wed","Thu","Fri","Sat","Sun")</f>
        <v>Mon</v>
      </c>
      <c r="P134" s="21" t="n">
        <f aca="false">IFERROR(H134/G134,0)</f>
        <v>0.0596043001528109</v>
      </c>
      <c r="Q134" s="19" t="n">
        <f aca="false">IFERROR((I134+J134+K134)/H134,0)</f>
        <v>0.0483815349555466</v>
      </c>
      <c r="R134" s="27" t="n">
        <f aca="false">IFERROR(L134*60/H134,0)</f>
        <v>5.20046777313003</v>
      </c>
      <c r="S134" s="21" t="n">
        <f aca="false">IFERROR(R134/F134,0)</f>
        <v>0.412735537550003</v>
      </c>
      <c r="T134" s="20" t="n">
        <f aca="false">IFERROR(M134/H134,0)</f>
        <v>0.00488762949969265</v>
      </c>
      <c r="U134" s="17" t="str">
        <f aca="false">IF(F134&lt;1,"Under 1 min",IF(F134&lt;5,"1-5 min",IF(F134&lt;10,"5-10 min",IF(F134&lt;20,"10-20 min","20+ min"))))</f>
        <v>10-20 min</v>
      </c>
      <c r="V134" s="17" t="str">
        <f aca="false">IF(WEEKDAY(E134,2)&gt;5,"Weekend","Weekday")</f>
        <v>Weekday</v>
      </c>
    </row>
    <row r="135" customFormat="false" ht="15" hidden="false" customHeight="false" outlineLevel="0" collapsed="false">
      <c r="A135" s="17" t="s">
        <v>383</v>
      </c>
      <c r="B135" s="17" t="s">
        <v>384</v>
      </c>
      <c r="C135" s="17" t="s">
        <v>111</v>
      </c>
      <c r="D135" s="17" t="s">
        <v>112</v>
      </c>
      <c r="E135" s="23" t="n">
        <v>46243</v>
      </c>
      <c r="F135" s="24" t="n">
        <v>13.6</v>
      </c>
      <c r="G135" s="18" t="n">
        <v>976495</v>
      </c>
      <c r="H135" s="18" t="n">
        <v>67373</v>
      </c>
      <c r="I135" s="18" t="n">
        <v>2682</v>
      </c>
      <c r="J135" s="18" t="n">
        <v>192</v>
      </c>
      <c r="K135" s="18" t="n">
        <v>229</v>
      </c>
      <c r="L135" s="25" t="n">
        <v>7896.8</v>
      </c>
      <c r="M135" s="18" t="n">
        <v>416</v>
      </c>
      <c r="N135" s="26" t="n">
        <f aca="false">DATE(YEAR(E135),MONTH(E135),1)</f>
        <v>46235</v>
      </c>
      <c r="O135" s="17" t="str">
        <f aca="false">CHOOSE(WEEKDAY(E135,2),"Mon","Tue","Wed","Thu","Fri","Sat","Sun")</f>
        <v>Sun</v>
      </c>
      <c r="P135" s="21" t="n">
        <f aca="false">IFERROR(H135/G135,0)</f>
        <v>0.0689947209151097</v>
      </c>
      <c r="Q135" s="19" t="n">
        <f aca="false">IFERROR((I135+J135+K135)/H135,0)</f>
        <v>0.0460570258115269</v>
      </c>
      <c r="R135" s="27" t="n">
        <f aca="false">IFERROR(L135*60/H135,0)</f>
        <v>7.03260950232289</v>
      </c>
      <c r="S135" s="21" t="n">
        <f aca="false">IFERROR(R135/F135,0)</f>
        <v>0.517103639876683</v>
      </c>
      <c r="T135" s="20" t="n">
        <f aca="false">IFERROR(M135/H135,0)</f>
        <v>0.00617458032149377</v>
      </c>
      <c r="U135" s="17" t="str">
        <f aca="false">IF(F135&lt;1,"Under 1 min",IF(F135&lt;5,"1-5 min",IF(F135&lt;10,"5-10 min",IF(F135&lt;20,"10-20 min","20+ min"))))</f>
        <v>10-20 min</v>
      </c>
      <c r="V135" s="17" t="str">
        <f aca="false">IF(WEEKDAY(E135,2)&gt;5,"Weekend","Weekday")</f>
        <v>Weekend</v>
      </c>
    </row>
    <row r="136" customFormat="false" ht="15" hidden="false" customHeight="false" outlineLevel="0" collapsed="false">
      <c r="A136" s="17" t="s">
        <v>385</v>
      </c>
      <c r="B136" s="17" t="s">
        <v>386</v>
      </c>
      <c r="C136" s="17" t="s">
        <v>128</v>
      </c>
      <c r="D136" s="17" t="s">
        <v>121</v>
      </c>
      <c r="E136" s="23" t="n">
        <v>46243</v>
      </c>
      <c r="F136" s="24" t="n">
        <v>0.75</v>
      </c>
      <c r="G136" s="18" t="n">
        <v>788788</v>
      </c>
      <c r="H136" s="18" t="n">
        <v>83165</v>
      </c>
      <c r="I136" s="18" t="n">
        <v>2017</v>
      </c>
      <c r="J136" s="18" t="n">
        <v>154</v>
      </c>
      <c r="K136" s="18" t="n">
        <v>556</v>
      </c>
      <c r="L136" s="25" t="n">
        <v>926.7</v>
      </c>
      <c r="M136" s="18" t="n">
        <v>153</v>
      </c>
      <c r="N136" s="26" t="n">
        <f aca="false">DATE(YEAR(E136),MONTH(E136),1)</f>
        <v>46235</v>
      </c>
      <c r="O136" s="17" t="str">
        <f aca="false">CHOOSE(WEEKDAY(E136,2),"Mon","Tue","Wed","Thu","Fri","Sat","Sun")</f>
        <v>Sun</v>
      </c>
      <c r="P136" s="21" t="n">
        <f aca="false">IFERROR(H136/G136,0)</f>
        <v>0.105433906195328</v>
      </c>
      <c r="Q136" s="19" t="n">
        <f aca="false">IFERROR((I136+J136+K136)/H136,0)</f>
        <v>0.0327902362772801</v>
      </c>
      <c r="R136" s="27" t="n">
        <f aca="false">IFERROR(L136*60/H136,0)</f>
        <v>0.668574520531474</v>
      </c>
      <c r="S136" s="21" t="n">
        <f aca="false">IFERROR(R136/F136,0)</f>
        <v>0.891432694041965</v>
      </c>
      <c r="T136" s="20" t="n">
        <f aca="false">IFERROR(M136/H136,0)</f>
        <v>0.00183971622677809</v>
      </c>
      <c r="U136" s="17" t="str">
        <f aca="false">IF(F136&lt;1,"Under 1 min",IF(F136&lt;5,"1-5 min",IF(F136&lt;10,"5-10 min",IF(F136&lt;20,"10-20 min","20+ min"))))</f>
        <v>Under 1 min</v>
      </c>
      <c r="V136" s="17" t="str">
        <f aca="false">IF(WEEKDAY(E136,2)&gt;5,"Weekend","Weekday")</f>
        <v>Weekend</v>
      </c>
    </row>
    <row r="137" customFormat="false" ht="15" hidden="false" customHeight="false" outlineLevel="0" collapsed="false">
      <c r="A137" s="17" t="s">
        <v>387</v>
      </c>
      <c r="B137" s="17" t="s">
        <v>388</v>
      </c>
      <c r="C137" s="17" t="s">
        <v>128</v>
      </c>
      <c r="D137" s="17" t="s">
        <v>112</v>
      </c>
      <c r="E137" s="23" t="n">
        <v>46251</v>
      </c>
      <c r="F137" s="24" t="n">
        <v>10.8</v>
      </c>
      <c r="G137" s="18" t="n">
        <v>488328</v>
      </c>
      <c r="H137" s="18" t="n">
        <v>27357</v>
      </c>
      <c r="I137" s="18" t="n">
        <v>1008</v>
      </c>
      <c r="J137" s="18" t="n">
        <v>100</v>
      </c>
      <c r="K137" s="18" t="n">
        <v>94</v>
      </c>
      <c r="L137" s="25" t="n">
        <v>2678.2</v>
      </c>
      <c r="M137" s="18" t="n">
        <v>202</v>
      </c>
      <c r="N137" s="26" t="n">
        <f aca="false">DATE(YEAR(E137),MONTH(E137),1)</f>
        <v>46235</v>
      </c>
      <c r="O137" s="17" t="str">
        <f aca="false">CHOOSE(WEEKDAY(E137,2),"Mon","Tue","Wed","Thu","Fri","Sat","Sun")</f>
        <v>Mon</v>
      </c>
      <c r="P137" s="21" t="n">
        <f aca="false">IFERROR(H137/G137,0)</f>
        <v>0.0560217722514376</v>
      </c>
      <c r="Q137" s="19" t="n">
        <f aca="false">IFERROR((I137+J137+K137)/H137,0)</f>
        <v>0.0439375662536097</v>
      </c>
      <c r="R137" s="27" t="n">
        <f aca="false">IFERROR(L137*60/H137,0)</f>
        <v>5.87388968088606</v>
      </c>
      <c r="S137" s="21" t="n">
        <f aca="false">IFERROR(R137/F137,0)</f>
        <v>0.543878674156117</v>
      </c>
      <c r="T137" s="20" t="n">
        <f aca="false">IFERROR(M137/H137,0)</f>
        <v>0.00738385056841028</v>
      </c>
      <c r="U137" s="17" t="str">
        <f aca="false">IF(F137&lt;1,"Under 1 min",IF(F137&lt;5,"1-5 min",IF(F137&lt;10,"5-10 min",IF(F137&lt;20,"10-20 min","20+ min"))))</f>
        <v>10-20 min</v>
      </c>
      <c r="V137" s="17" t="str">
        <f aca="false">IF(WEEKDAY(E137,2)&gt;5,"Weekend","Weekday")</f>
        <v>Weekday</v>
      </c>
    </row>
    <row r="138" customFormat="false" ht="15" hidden="false" customHeight="false" outlineLevel="0" collapsed="false">
      <c r="A138" s="17" t="s">
        <v>389</v>
      </c>
      <c r="B138" s="17" t="s">
        <v>390</v>
      </c>
      <c r="C138" s="17" t="s">
        <v>111</v>
      </c>
      <c r="D138" s="17" t="s">
        <v>112</v>
      </c>
      <c r="E138" s="23" t="n">
        <v>46252</v>
      </c>
      <c r="F138" s="24" t="n">
        <v>14.1</v>
      </c>
      <c r="G138" s="18" t="n">
        <v>1041426</v>
      </c>
      <c r="H138" s="18" t="n">
        <v>53586</v>
      </c>
      <c r="I138" s="18" t="n">
        <v>2875</v>
      </c>
      <c r="J138" s="18" t="n">
        <v>230</v>
      </c>
      <c r="K138" s="18" t="n">
        <v>184</v>
      </c>
      <c r="L138" s="25" t="n">
        <v>3676.2</v>
      </c>
      <c r="M138" s="18" t="n">
        <v>234</v>
      </c>
      <c r="N138" s="26" t="n">
        <f aca="false">DATE(YEAR(E138),MONTH(E138),1)</f>
        <v>46235</v>
      </c>
      <c r="O138" s="17" t="str">
        <f aca="false">CHOOSE(WEEKDAY(E138,2),"Mon","Tue","Wed","Thu","Fri","Sat","Sun")</f>
        <v>Tue</v>
      </c>
      <c r="P138" s="21" t="n">
        <f aca="false">IFERROR(H138/G138,0)</f>
        <v>0.0514544480356742</v>
      </c>
      <c r="Q138" s="19" t="n">
        <f aca="false">IFERROR((I138+J138+K138)/H138,0)</f>
        <v>0.0613779718583212</v>
      </c>
      <c r="R138" s="27" t="n">
        <f aca="false">IFERROR(L138*60/H138,0)</f>
        <v>4.11622438696675</v>
      </c>
      <c r="S138" s="21" t="n">
        <f aca="false">IFERROR(R138/F138,0)</f>
        <v>0.291930807586294</v>
      </c>
      <c r="T138" s="20" t="n">
        <f aca="false">IFERROR(M138/H138,0)</f>
        <v>0.00436681222707424</v>
      </c>
      <c r="U138" s="17" t="str">
        <f aca="false">IF(F138&lt;1,"Under 1 min",IF(F138&lt;5,"1-5 min",IF(F138&lt;10,"5-10 min",IF(F138&lt;20,"10-20 min","20+ min"))))</f>
        <v>10-20 min</v>
      </c>
      <c r="V138" s="17" t="str">
        <f aca="false">IF(WEEKDAY(E138,2)&gt;5,"Weekend","Weekday")</f>
        <v>Weekday</v>
      </c>
    </row>
    <row r="139" customFormat="false" ht="15" hidden="false" customHeight="false" outlineLevel="0" collapsed="false">
      <c r="A139" s="17" t="s">
        <v>391</v>
      </c>
      <c r="B139" s="17" t="s">
        <v>392</v>
      </c>
      <c r="C139" s="17" t="s">
        <v>118</v>
      </c>
      <c r="D139" s="17" t="s">
        <v>112</v>
      </c>
      <c r="E139" s="23" t="n">
        <v>46253</v>
      </c>
      <c r="F139" s="24" t="n">
        <v>13.7</v>
      </c>
      <c r="G139" s="18" t="n">
        <v>535815</v>
      </c>
      <c r="H139" s="18" t="n">
        <v>26024</v>
      </c>
      <c r="I139" s="18" t="n">
        <v>1311</v>
      </c>
      <c r="J139" s="18" t="n">
        <v>119</v>
      </c>
      <c r="K139" s="18" t="n">
        <v>103</v>
      </c>
      <c r="L139" s="25" t="n">
        <v>2314.8</v>
      </c>
      <c r="M139" s="18" t="n">
        <v>106</v>
      </c>
      <c r="N139" s="26" t="n">
        <f aca="false">DATE(YEAR(E139),MONTH(E139),1)</f>
        <v>46235</v>
      </c>
      <c r="O139" s="17" t="str">
        <f aca="false">CHOOSE(WEEKDAY(E139,2),"Mon","Tue","Wed","Thu","Fri","Sat","Sun")</f>
        <v>Wed</v>
      </c>
      <c r="P139" s="21" t="n">
        <f aca="false">IFERROR(H139/G139,0)</f>
        <v>0.0485690023608895</v>
      </c>
      <c r="Q139" s="19" t="n">
        <f aca="false">IFERROR((I139+J139+K139)/H139,0)</f>
        <v>0.0589071626191208</v>
      </c>
      <c r="R139" s="27" t="n">
        <f aca="false">IFERROR(L139*60/H139,0)</f>
        <v>5.33691976636951</v>
      </c>
      <c r="S139" s="21" t="n">
        <f aca="false">IFERROR(R139/F139,0)</f>
        <v>0.389556187326241</v>
      </c>
      <c r="T139" s="20" t="n">
        <f aca="false">IFERROR(M139/H139,0)</f>
        <v>0.0040731632339379</v>
      </c>
      <c r="U139" s="17" t="str">
        <f aca="false">IF(F139&lt;1,"Under 1 min",IF(F139&lt;5,"1-5 min",IF(F139&lt;10,"5-10 min",IF(F139&lt;20,"10-20 min","20+ min"))))</f>
        <v>10-20 min</v>
      </c>
      <c r="V139" s="17" t="str">
        <f aca="false">IF(WEEKDAY(E139,2)&gt;5,"Weekend","Weekday")</f>
        <v>Weekday</v>
      </c>
    </row>
    <row r="140" customFormat="false" ht="15" hidden="false" customHeight="false" outlineLevel="0" collapsed="false">
      <c r="A140" s="17" t="s">
        <v>393</v>
      </c>
      <c r="B140" s="17" t="s">
        <v>394</v>
      </c>
      <c r="C140" s="17" t="s">
        <v>118</v>
      </c>
      <c r="D140" s="17" t="s">
        <v>112</v>
      </c>
      <c r="E140" s="23" t="n">
        <v>46254</v>
      </c>
      <c r="F140" s="24" t="n">
        <v>10.2</v>
      </c>
      <c r="G140" s="18" t="n">
        <v>594170</v>
      </c>
      <c r="H140" s="18" t="n">
        <v>23775</v>
      </c>
      <c r="I140" s="18" t="n">
        <v>1096</v>
      </c>
      <c r="J140" s="18" t="n">
        <v>46</v>
      </c>
      <c r="K140" s="18" t="n">
        <v>130</v>
      </c>
      <c r="L140" s="25" t="n">
        <v>1801.6</v>
      </c>
      <c r="M140" s="18" t="n">
        <v>114</v>
      </c>
      <c r="N140" s="26" t="n">
        <f aca="false">DATE(YEAR(E140),MONTH(E140),1)</f>
        <v>46235</v>
      </c>
      <c r="O140" s="17" t="str">
        <f aca="false">CHOOSE(WEEKDAY(E140,2),"Mon","Tue","Wed","Thu","Fri","Sat","Sun")</f>
        <v>Thu</v>
      </c>
      <c r="P140" s="21" t="n">
        <f aca="false">IFERROR(H140/G140,0)</f>
        <v>0.0400138007640911</v>
      </c>
      <c r="Q140" s="19" t="n">
        <f aca="false">IFERROR((I140+J140+K140)/H140,0)</f>
        <v>0.0535015772870663</v>
      </c>
      <c r="R140" s="27" t="n">
        <f aca="false">IFERROR(L140*60/H140,0)</f>
        <v>4.54662460567823</v>
      </c>
      <c r="S140" s="21" t="n">
        <f aca="false">IFERROR(R140/F140,0)</f>
        <v>0.445747510360611</v>
      </c>
      <c r="T140" s="20" t="n">
        <f aca="false">IFERROR(M140/H140,0)</f>
        <v>0.00479495268138801</v>
      </c>
      <c r="U140" s="17" t="str">
        <f aca="false">IF(F140&lt;1,"Under 1 min",IF(F140&lt;5,"1-5 min",IF(F140&lt;10,"5-10 min",IF(F140&lt;20,"10-20 min","20+ min"))))</f>
        <v>10-20 min</v>
      </c>
      <c r="V140" s="17" t="str">
        <f aca="false">IF(WEEKDAY(E140,2)&gt;5,"Weekend","Weekday")</f>
        <v>Weekday</v>
      </c>
    </row>
    <row r="141" customFormat="false" ht="15" hidden="false" customHeight="false" outlineLevel="0" collapsed="false">
      <c r="A141" s="17" t="s">
        <v>395</v>
      </c>
      <c r="B141" s="17" t="s">
        <v>396</v>
      </c>
      <c r="C141" s="17" t="s">
        <v>202</v>
      </c>
      <c r="D141" s="17" t="s">
        <v>112</v>
      </c>
      <c r="E141" s="23" t="n">
        <v>46255</v>
      </c>
      <c r="F141" s="24" t="n">
        <v>19.7</v>
      </c>
      <c r="G141" s="18" t="n">
        <v>200274</v>
      </c>
      <c r="H141" s="18" t="n">
        <v>11810</v>
      </c>
      <c r="I141" s="18" t="n">
        <v>348</v>
      </c>
      <c r="J141" s="18" t="n">
        <v>30</v>
      </c>
      <c r="K141" s="18" t="n">
        <v>80</v>
      </c>
      <c r="L141" s="25" t="n">
        <v>1643.5</v>
      </c>
      <c r="M141" s="18" t="n">
        <v>27</v>
      </c>
      <c r="N141" s="26" t="n">
        <f aca="false">DATE(YEAR(E141),MONTH(E141),1)</f>
        <v>46235</v>
      </c>
      <c r="O141" s="17" t="str">
        <f aca="false">CHOOSE(WEEKDAY(E141,2),"Mon","Tue","Wed","Thu","Fri","Sat","Sun")</f>
        <v>Fri</v>
      </c>
      <c r="P141" s="21" t="n">
        <f aca="false">IFERROR(H141/G141,0)</f>
        <v>0.0589692121793143</v>
      </c>
      <c r="Q141" s="19" t="n">
        <f aca="false">IFERROR((I141+J141+K141)/H141,0)</f>
        <v>0.0387806943268417</v>
      </c>
      <c r="R141" s="27" t="n">
        <f aca="false">IFERROR(L141*60/H141,0)</f>
        <v>8.34970364098222</v>
      </c>
      <c r="S141" s="21" t="n">
        <f aca="false">IFERROR(R141/F141,0)</f>
        <v>0.423842824415341</v>
      </c>
      <c r="T141" s="20" t="n">
        <f aca="false">IFERROR(M141/H141,0)</f>
        <v>0.00228619813717189</v>
      </c>
      <c r="U141" s="17" t="str">
        <f aca="false">IF(F141&lt;1,"Under 1 min",IF(F141&lt;5,"1-5 min",IF(F141&lt;10,"5-10 min",IF(F141&lt;20,"10-20 min","20+ min"))))</f>
        <v>10-20 min</v>
      </c>
      <c r="V141" s="17" t="str">
        <f aca="false">IF(WEEKDAY(E141,2)&gt;5,"Weekend","Weekday")</f>
        <v>Weekday</v>
      </c>
    </row>
    <row r="142" customFormat="false" ht="15" hidden="false" customHeight="false" outlineLevel="0" collapsed="false">
      <c r="A142" s="17" t="s">
        <v>397</v>
      </c>
      <c r="B142" s="17" t="s">
        <v>398</v>
      </c>
      <c r="C142" s="17" t="s">
        <v>128</v>
      </c>
      <c r="D142" s="17" t="s">
        <v>121</v>
      </c>
      <c r="E142" s="23" t="n">
        <v>46258</v>
      </c>
      <c r="F142" s="24" t="n">
        <v>0.32</v>
      </c>
      <c r="G142" s="18" t="n">
        <v>570362</v>
      </c>
      <c r="H142" s="18" t="n">
        <v>52143</v>
      </c>
      <c r="I142" s="18" t="n">
        <v>1771</v>
      </c>
      <c r="J142" s="18" t="n">
        <v>19</v>
      </c>
      <c r="K142" s="18" t="n">
        <v>295</v>
      </c>
      <c r="L142" s="25" t="n">
        <v>215.7</v>
      </c>
      <c r="M142" s="18" t="n">
        <v>160</v>
      </c>
      <c r="N142" s="26" t="n">
        <f aca="false">DATE(YEAR(E142),MONTH(E142),1)</f>
        <v>46235</v>
      </c>
      <c r="O142" s="17" t="str">
        <f aca="false">CHOOSE(WEEKDAY(E142,2),"Mon","Tue","Wed","Thu","Fri","Sat","Sun")</f>
        <v>Mon</v>
      </c>
      <c r="P142" s="21" t="n">
        <f aca="false">IFERROR(H142/G142,0)</f>
        <v>0.0914208870857455</v>
      </c>
      <c r="Q142" s="19" t="n">
        <f aca="false">IFERROR((I142+J142+K142)/H142,0)</f>
        <v>0.0399861918186526</v>
      </c>
      <c r="R142" s="27" t="n">
        <f aca="false">IFERROR(L142*60/H142,0)</f>
        <v>0.248202059720384</v>
      </c>
      <c r="S142" s="21" t="n">
        <f aca="false">IFERROR(R142/F142,0)</f>
        <v>0.775631436626201</v>
      </c>
      <c r="T142" s="20" t="n">
        <f aca="false">IFERROR(M142/H142,0)</f>
        <v>0.00306848474387741</v>
      </c>
      <c r="U142" s="17" t="str">
        <f aca="false">IF(F142&lt;1,"Under 1 min",IF(F142&lt;5,"1-5 min",IF(F142&lt;10,"5-10 min",IF(F142&lt;20,"10-20 min","20+ min"))))</f>
        <v>Under 1 min</v>
      </c>
      <c r="V142" s="17" t="str">
        <f aca="false">IF(WEEKDAY(E142,2)&gt;5,"Weekend","Weekday")</f>
        <v>Weekday</v>
      </c>
    </row>
    <row r="143" customFormat="false" ht="15" hidden="false" customHeight="false" outlineLevel="0" collapsed="false">
      <c r="A143" s="17" t="s">
        <v>399</v>
      </c>
      <c r="B143" s="17" t="s">
        <v>400</v>
      </c>
      <c r="C143" s="17" t="s">
        <v>118</v>
      </c>
      <c r="D143" s="17" t="s">
        <v>112</v>
      </c>
      <c r="E143" s="23" t="n">
        <v>46259</v>
      </c>
      <c r="F143" s="24" t="n">
        <v>8.8</v>
      </c>
      <c r="G143" s="18" t="n">
        <v>391527</v>
      </c>
      <c r="H143" s="18" t="n">
        <v>23844</v>
      </c>
      <c r="I143" s="18" t="n">
        <v>1115</v>
      </c>
      <c r="J143" s="18" t="n">
        <v>85</v>
      </c>
      <c r="K143" s="18" t="n">
        <v>88</v>
      </c>
      <c r="L143" s="25" t="n">
        <v>1499.3</v>
      </c>
      <c r="M143" s="18" t="n">
        <v>95</v>
      </c>
      <c r="N143" s="26" t="n">
        <f aca="false">DATE(YEAR(E143),MONTH(E143),1)</f>
        <v>46235</v>
      </c>
      <c r="O143" s="17" t="str">
        <f aca="false">CHOOSE(WEEKDAY(E143,2),"Mon","Tue","Wed","Thu","Fri","Sat","Sun")</f>
        <v>Tue</v>
      </c>
      <c r="P143" s="21" t="n">
        <f aca="false">IFERROR(H143/G143,0)</f>
        <v>0.0609000145583829</v>
      </c>
      <c r="Q143" s="19" t="n">
        <f aca="false">IFERROR((I143+J143+K143)/H143,0)</f>
        <v>0.0540177822513001</v>
      </c>
      <c r="R143" s="27" t="n">
        <f aca="false">IFERROR(L143*60/H143,0)</f>
        <v>3.77277302466029</v>
      </c>
      <c r="S143" s="21" t="n">
        <f aca="false">IFERROR(R143/F143,0)</f>
        <v>0.42872420734776</v>
      </c>
      <c r="T143" s="20" t="n">
        <f aca="false">IFERROR(M143/H143,0)</f>
        <v>0.00398423083375273</v>
      </c>
      <c r="U143" s="17" t="str">
        <f aca="false">IF(F143&lt;1,"Under 1 min",IF(F143&lt;5,"1-5 min",IF(F143&lt;10,"5-10 min",IF(F143&lt;20,"10-20 min","20+ min"))))</f>
        <v>5-10 min</v>
      </c>
      <c r="V143" s="17" t="str">
        <f aca="false">IF(WEEKDAY(E143,2)&gt;5,"Weekend","Weekday")</f>
        <v>Weekday</v>
      </c>
    </row>
    <row r="144" customFormat="false" ht="15" hidden="false" customHeight="false" outlineLevel="0" collapsed="false">
      <c r="A144" s="17" t="s">
        <v>401</v>
      </c>
      <c r="B144" s="17" t="s">
        <v>402</v>
      </c>
      <c r="C144" s="17" t="s">
        <v>111</v>
      </c>
      <c r="D144" s="17" t="s">
        <v>121</v>
      </c>
      <c r="E144" s="23" t="n">
        <v>46262</v>
      </c>
      <c r="F144" s="24" t="n">
        <v>0.98</v>
      </c>
      <c r="G144" s="18" t="n">
        <v>558651</v>
      </c>
      <c r="H144" s="18" t="n">
        <v>43810</v>
      </c>
      <c r="I144" s="18" t="n">
        <v>1271</v>
      </c>
      <c r="J144" s="18" t="n">
        <v>34</v>
      </c>
      <c r="K144" s="18" t="n">
        <v>204</v>
      </c>
      <c r="L144" s="25" t="n">
        <v>664.9</v>
      </c>
      <c r="M144" s="18" t="n">
        <v>93</v>
      </c>
      <c r="N144" s="26" t="n">
        <f aca="false">DATE(YEAR(E144),MONTH(E144),1)</f>
        <v>46235</v>
      </c>
      <c r="O144" s="17" t="str">
        <f aca="false">CHOOSE(WEEKDAY(E144,2),"Mon","Tue","Wed","Thu","Fri","Sat","Sun")</f>
        <v>Fri</v>
      </c>
      <c r="P144" s="21" t="n">
        <f aca="false">IFERROR(H144/G144,0)</f>
        <v>0.0784210535736981</v>
      </c>
      <c r="Q144" s="19" t="n">
        <f aca="false">IFERROR((I144+J144+K144)/H144,0)</f>
        <v>0.0344441908240128</v>
      </c>
      <c r="R144" s="27" t="n">
        <f aca="false">IFERROR(L144*60/H144,0)</f>
        <v>0.910614015065054</v>
      </c>
      <c r="S144" s="21" t="n">
        <f aca="false">IFERROR(R144/F144,0)</f>
        <v>0.929197974556177</v>
      </c>
      <c r="T144" s="20" t="n">
        <f aca="false">IFERROR(M144/H144,0)</f>
        <v>0.00212280301301073</v>
      </c>
      <c r="U144" s="17" t="str">
        <f aca="false">IF(F144&lt;1,"Under 1 min",IF(F144&lt;5,"1-5 min",IF(F144&lt;10,"5-10 min",IF(F144&lt;20,"10-20 min","20+ min"))))</f>
        <v>Under 1 min</v>
      </c>
      <c r="V144" s="17" t="str">
        <f aca="false">IF(WEEKDAY(E144,2)&gt;5,"Weekend","Weekday")</f>
        <v>Weekday</v>
      </c>
    </row>
    <row r="145" customFormat="false" ht="15" hidden="false" customHeight="false" outlineLevel="0" collapsed="false">
      <c r="A145" s="17" t="s">
        <v>403</v>
      </c>
      <c r="B145" s="17" t="s">
        <v>404</v>
      </c>
      <c r="C145" s="17" t="s">
        <v>115</v>
      </c>
      <c r="D145" s="17" t="s">
        <v>112</v>
      </c>
      <c r="E145" s="23" t="n">
        <v>46263</v>
      </c>
      <c r="F145" s="24" t="n">
        <v>14.3</v>
      </c>
      <c r="G145" s="18" t="n">
        <v>1073462</v>
      </c>
      <c r="H145" s="18" t="n">
        <v>53401</v>
      </c>
      <c r="I145" s="18" t="n">
        <v>1790</v>
      </c>
      <c r="J145" s="18" t="n">
        <v>158</v>
      </c>
      <c r="K145" s="18" t="n">
        <v>238</v>
      </c>
      <c r="L145" s="25" t="n">
        <v>5301.7</v>
      </c>
      <c r="M145" s="18" t="n">
        <v>341</v>
      </c>
      <c r="N145" s="26" t="n">
        <f aca="false">DATE(YEAR(E145),MONTH(E145),1)</f>
        <v>46235</v>
      </c>
      <c r="O145" s="17" t="str">
        <f aca="false">CHOOSE(WEEKDAY(E145,2),"Mon","Tue","Wed","Thu","Fri","Sat","Sun")</f>
        <v>Sat</v>
      </c>
      <c r="P145" s="21" t="n">
        <f aca="false">IFERROR(H145/G145,0)</f>
        <v>0.0497465210692134</v>
      </c>
      <c r="Q145" s="19" t="n">
        <f aca="false">IFERROR((I145+J145+K145)/H145,0)</f>
        <v>0.0409355630044381</v>
      </c>
      <c r="R145" s="27" t="n">
        <f aca="false">IFERROR(L145*60/H145,0)</f>
        <v>5.95685474054793</v>
      </c>
      <c r="S145" s="21" t="n">
        <f aca="false">IFERROR(R145/F145,0)</f>
        <v>0.416563268569785</v>
      </c>
      <c r="T145" s="20" t="n">
        <f aca="false">IFERROR(M145/H145,0)</f>
        <v>0.00638564820883504</v>
      </c>
      <c r="U145" s="17" t="str">
        <f aca="false">IF(F145&lt;1,"Under 1 min",IF(F145&lt;5,"1-5 min",IF(F145&lt;10,"5-10 min",IF(F145&lt;20,"10-20 min","20+ min"))))</f>
        <v>10-20 min</v>
      </c>
      <c r="V145" s="17" t="str">
        <f aca="false">IF(WEEKDAY(E145,2)&gt;5,"Weekend","Weekday")</f>
        <v>Weekend</v>
      </c>
    </row>
  </sheetData>
  <autoFilter ref="A1:V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28"/>
  </cols>
  <sheetData>
    <row r="1" customFormat="false" ht="19.7" hidden="false" customHeight="false" outlineLevel="0" collapsed="false">
      <c r="A1" s="12" t="s">
        <v>405</v>
      </c>
    </row>
    <row r="2" customFormat="false" ht="15" hidden="false" customHeight="false" outlineLevel="0" collapsed="false">
      <c r="A2" s="6" t="s">
        <v>406</v>
      </c>
    </row>
    <row r="3" customFormat="false" ht="15" hidden="false" customHeight="false" outlineLevel="0" collapsed="false">
      <c r="A3" s="28" t="s">
        <v>407</v>
      </c>
      <c r="B3" s="29" t="n">
        <f aca="false">SUM(Videos_Data!$H$2:$H$145)</f>
        <v>5798478</v>
      </c>
    </row>
    <row r="5" customFormat="false" ht="15" hidden="false" customHeight="false" outlineLevel="0" collapsed="false">
      <c r="A5" s="3" t="s">
        <v>408</v>
      </c>
    </row>
    <row r="6" customFormat="false" ht="30" hidden="false" customHeight="true" outlineLevel="0" collapsed="false">
      <c r="A6" s="13" t="s">
        <v>409</v>
      </c>
      <c r="B6" s="13" t="s">
        <v>410</v>
      </c>
      <c r="C6" s="13" t="s">
        <v>411</v>
      </c>
      <c r="D6" s="13" t="s">
        <v>412</v>
      </c>
      <c r="E6" s="13" t="s">
        <v>413</v>
      </c>
      <c r="F6" s="13" t="s">
        <v>414</v>
      </c>
      <c r="G6" s="13" t="s">
        <v>104</v>
      </c>
      <c r="H6" s="13" t="s">
        <v>415</v>
      </c>
      <c r="I6" s="13" t="s">
        <v>416</v>
      </c>
    </row>
    <row r="7" customFormat="false" ht="15" hidden="false" customHeight="false" outlineLevel="0" collapsed="false">
      <c r="A7" s="30" t="s">
        <v>417</v>
      </c>
      <c r="B7" s="31" t="n">
        <v>0.04</v>
      </c>
      <c r="C7" s="31" t="n">
        <v>0.024</v>
      </c>
      <c r="D7" s="31" t="n">
        <v>0.001</v>
      </c>
      <c r="E7" s="21" t="n">
        <f aca="false">SUM(B7:D7)</f>
        <v>0.065</v>
      </c>
      <c r="F7" s="18" t="n">
        <f aca="false">E7*$B$3</f>
        <v>376901.07</v>
      </c>
      <c r="G7" s="32" t="n">
        <v>4.1</v>
      </c>
      <c r="H7" s="18" t="n">
        <f aca="false">F7*G7/60</f>
        <v>25754.90645</v>
      </c>
      <c r="I7" s="21" t="n">
        <f aca="false">IFERROR(H7/$H$13,0)</f>
        <v>0.0455711354309165</v>
      </c>
    </row>
    <row r="8" customFormat="false" ht="15" hidden="false" customHeight="false" outlineLevel="0" collapsed="false">
      <c r="A8" s="30" t="s">
        <v>418</v>
      </c>
      <c r="B8" s="31" t="n">
        <v>0.27</v>
      </c>
      <c r="C8" s="31" t="n">
        <v>0.155</v>
      </c>
      <c r="D8" s="31" t="n">
        <v>0.005</v>
      </c>
      <c r="E8" s="21" t="n">
        <f aca="false">SUM(B8:D8)</f>
        <v>0.43</v>
      </c>
      <c r="F8" s="18" t="n">
        <f aca="false">E8*$B$3</f>
        <v>2493345.54</v>
      </c>
      <c r="G8" s="32" t="n">
        <v>5.6</v>
      </c>
      <c r="H8" s="18" t="n">
        <f aca="false">F8*G8/60</f>
        <v>232712.2504</v>
      </c>
      <c r="I8" s="21" t="n">
        <f aca="false">IFERROR(H8/$H$13,0)</f>
        <v>0.411764705882353</v>
      </c>
    </row>
    <row r="9" customFormat="false" ht="15" hidden="false" customHeight="false" outlineLevel="0" collapsed="false">
      <c r="A9" s="30" t="s">
        <v>419</v>
      </c>
      <c r="B9" s="31" t="n">
        <v>0.175</v>
      </c>
      <c r="C9" s="31" t="n">
        <v>0.092</v>
      </c>
      <c r="D9" s="31" t="n">
        <v>0.003</v>
      </c>
      <c r="E9" s="21" t="n">
        <f aca="false">SUM(B9:D9)</f>
        <v>0.27</v>
      </c>
      <c r="F9" s="18" t="n">
        <f aca="false">E9*$B$3</f>
        <v>1565589.06</v>
      </c>
      <c r="G9" s="32" t="n">
        <v>6.3</v>
      </c>
      <c r="H9" s="18" t="n">
        <f aca="false">F9*G9/60</f>
        <v>164386.8513</v>
      </c>
      <c r="I9" s="21" t="n">
        <f aca="false">IFERROR(H9/$H$13,0)</f>
        <v>0.290868673050616</v>
      </c>
    </row>
    <row r="10" customFormat="false" ht="15" hidden="false" customHeight="false" outlineLevel="0" collapsed="false">
      <c r="A10" s="30" t="s">
        <v>420</v>
      </c>
      <c r="B10" s="31" t="n">
        <v>0.078</v>
      </c>
      <c r="C10" s="31" t="n">
        <v>0.041</v>
      </c>
      <c r="D10" s="31" t="n">
        <v>0.001</v>
      </c>
      <c r="E10" s="21" t="n">
        <f aca="false">SUM(B10:D10)</f>
        <v>0.12</v>
      </c>
      <c r="F10" s="18" t="n">
        <f aca="false">E10*$B$3</f>
        <v>695817.36</v>
      </c>
      <c r="G10" s="32" t="n">
        <v>6.8</v>
      </c>
      <c r="H10" s="18" t="n">
        <f aca="false">F10*G10/60</f>
        <v>78859.3008</v>
      </c>
      <c r="I10" s="21" t="n">
        <f aca="false">IFERROR(H10/$H$13,0)</f>
        <v>0.13953488372093</v>
      </c>
    </row>
    <row r="11" customFormat="false" ht="15" hidden="false" customHeight="false" outlineLevel="0" collapsed="false">
      <c r="A11" s="30" t="s">
        <v>421</v>
      </c>
      <c r="B11" s="31" t="n">
        <v>0.042</v>
      </c>
      <c r="C11" s="31" t="n">
        <v>0.022</v>
      </c>
      <c r="D11" s="31" t="n">
        <v>0.001</v>
      </c>
      <c r="E11" s="21" t="n">
        <f aca="false">SUM(B11:D11)</f>
        <v>0.065</v>
      </c>
      <c r="F11" s="18" t="n">
        <f aca="false">E11*$B$3</f>
        <v>376901.07</v>
      </c>
      <c r="G11" s="32" t="n">
        <v>6.1</v>
      </c>
      <c r="H11" s="18" t="n">
        <f aca="false">F11*G11/60</f>
        <v>38318.27545</v>
      </c>
      <c r="I11" s="21" t="n">
        <f aca="false">IFERROR(H11/$H$13,0)</f>
        <v>0.0678009575923392</v>
      </c>
    </row>
    <row r="12" customFormat="false" ht="15" hidden="false" customHeight="false" outlineLevel="0" collapsed="false">
      <c r="A12" s="30" t="s">
        <v>422</v>
      </c>
      <c r="B12" s="31" t="n">
        <v>0.032</v>
      </c>
      <c r="C12" s="31" t="n">
        <v>0.017</v>
      </c>
      <c r="D12" s="31" t="n">
        <v>0.001</v>
      </c>
      <c r="E12" s="21" t="n">
        <f aca="false">SUM(B12:D12)</f>
        <v>0.05</v>
      </c>
      <c r="F12" s="18" t="n">
        <f aca="false">E12*$B$3</f>
        <v>289923.9</v>
      </c>
      <c r="G12" s="32" t="n">
        <v>5.2</v>
      </c>
      <c r="H12" s="18" t="n">
        <f aca="false">F12*G12/60</f>
        <v>25126.738</v>
      </c>
      <c r="I12" s="21" t="n">
        <f aca="false">IFERROR(H12/$H$13,0)</f>
        <v>0.0444596443228454</v>
      </c>
    </row>
    <row r="13" customFormat="false" ht="15" hidden="false" customHeight="false" outlineLevel="0" collapsed="false">
      <c r="A13" s="33" t="s">
        <v>423</v>
      </c>
      <c r="B13" s="34" t="n">
        <f aca="false">SUM(B7:B12)</f>
        <v>0.637</v>
      </c>
      <c r="C13" s="34" t="n">
        <f aca="false">SUM(C7:C12)</f>
        <v>0.351</v>
      </c>
      <c r="D13" s="34" t="n">
        <f aca="false">SUM(D7:D12)</f>
        <v>0.012</v>
      </c>
      <c r="E13" s="34" t="n">
        <f aca="false">SUM(E7:E12)</f>
        <v>1</v>
      </c>
      <c r="F13" s="35" t="n">
        <f aca="false">SUM(F7:F12)</f>
        <v>5798478</v>
      </c>
      <c r="G13" s="36" t="n">
        <f aca="false">IFERROR(H13*60/F13,0)</f>
        <v>5.848</v>
      </c>
      <c r="H13" s="35" t="n">
        <f aca="false">SUM(H7:H12)</f>
        <v>565158.3224</v>
      </c>
      <c r="I13" s="34" t="n">
        <f aca="false">SUM(I7:I12)</f>
        <v>1</v>
      </c>
      <c r="J13" s="37" t="str">
        <f aca="false">IF(ROUND(E13,4)=1,"OK: shares sum to 100%","CHECK: shares must sum to 100%")</f>
        <v>OK: shares sum to 100%</v>
      </c>
    </row>
    <row r="16" customFormat="false" ht="15" hidden="false" customHeight="false" outlineLevel="0" collapsed="false">
      <c r="A16" s="3" t="s">
        <v>424</v>
      </c>
    </row>
    <row r="17" customFormat="false" ht="15" hidden="false" customHeight="false" outlineLevel="0" collapsed="false">
      <c r="A17" s="13" t="s">
        <v>425</v>
      </c>
      <c r="B17" s="13" t="s">
        <v>426</v>
      </c>
      <c r="C17" s="13" t="s">
        <v>414</v>
      </c>
    </row>
    <row r="18" customFormat="false" ht="15" hidden="false" customHeight="false" outlineLevel="0" collapsed="false">
      <c r="A18" s="30" t="s">
        <v>410</v>
      </c>
      <c r="B18" s="21" t="n">
        <f aca="false">B13</f>
        <v>0.637</v>
      </c>
      <c r="C18" s="18" t="n">
        <f aca="false">B18*$B$3</f>
        <v>3693630.486</v>
      </c>
    </row>
    <row r="19" customFormat="false" ht="15" hidden="false" customHeight="false" outlineLevel="0" collapsed="false">
      <c r="A19" s="30" t="s">
        <v>411</v>
      </c>
      <c r="B19" s="21" t="n">
        <f aca="false">C13</f>
        <v>0.351</v>
      </c>
      <c r="C19" s="18" t="n">
        <f aca="false">B19*$B$3</f>
        <v>2035265.778</v>
      </c>
    </row>
    <row r="20" customFormat="false" ht="15" hidden="false" customHeight="false" outlineLevel="0" collapsed="false">
      <c r="A20" s="30" t="s">
        <v>412</v>
      </c>
      <c r="B20" s="21" t="n">
        <f aca="false">D13</f>
        <v>0.012</v>
      </c>
      <c r="C20" s="18" t="n">
        <f aca="false">B20*$B$3</f>
        <v>69581.736</v>
      </c>
    </row>
    <row r="22" customFormat="false" ht="15" hidden="false" customHeight="false" outlineLevel="0" collapsed="false">
      <c r="A22" s="3" t="s">
        <v>427</v>
      </c>
    </row>
    <row r="23" customFormat="false" ht="30" hidden="false" customHeight="true" outlineLevel="0" collapsed="false">
      <c r="A23" s="13" t="s">
        <v>428</v>
      </c>
      <c r="B23" s="13" t="s">
        <v>426</v>
      </c>
      <c r="C23" s="13" t="s">
        <v>414</v>
      </c>
      <c r="D23" s="13" t="s">
        <v>104</v>
      </c>
      <c r="E23" s="13" t="s">
        <v>415</v>
      </c>
      <c r="F23" s="13" t="s">
        <v>416</v>
      </c>
    </row>
    <row r="24" customFormat="false" ht="15" hidden="false" customHeight="false" outlineLevel="0" collapsed="false">
      <c r="A24" s="30" t="s">
        <v>429</v>
      </c>
      <c r="B24" s="31" t="n">
        <v>0.71</v>
      </c>
      <c r="C24" s="18" t="n">
        <f aca="false">B24*$B$3</f>
        <v>4116919.38</v>
      </c>
      <c r="D24" s="32" t="n">
        <v>5.8</v>
      </c>
      <c r="E24" s="18" t="n">
        <f aca="false">C24*D24/60</f>
        <v>397968.8734</v>
      </c>
      <c r="F24" s="21" t="n">
        <f aca="false">IFERROR(E24/$E$30,0)</f>
        <v>0.708777969018933</v>
      </c>
    </row>
    <row r="25" customFormat="false" ht="15" hidden="false" customHeight="false" outlineLevel="0" collapsed="false">
      <c r="A25" s="30" t="s">
        <v>430</v>
      </c>
      <c r="B25" s="31" t="n">
        <v>0.08</v>
      </c>
      <c r="C25" s="18" t="n">
        <f aca="false">B25*$B$3</f>
        <v>463878.24</v>
      </c>
      <c r="D25" s="32" t="n">
        <v>6.4</v>
      </c>
      <c r="E25" s="18" t="n">
        <f aca="false">C25*D25/60</f>
        <v>49480.3456</v>
      </c>
      <c r="F25" s="21" t="n">
        <f aca="false">IFERROR(E25/$E$30,0)</f>
        <v>0.0881239242685026</v>
      </c>
    </row>
    <row r="26" customFormat="false" ht="15" hidden="false" customHeight="false" outlineLevel="0" collapsed="false">
      <c r="A26" s="30" t="s">
        <v>431</v>
      </c>
      <c r="B26" s="31" t="n">
        <v>0.04</v>
      </c>
      <c r="C26" s="18" t="n">
        <f aca="false">B26*$B$3</f>
        <v>231939.12</v>
      </c>
      <c r="D26" s="32" t="n">
        <v>6.1</v>
      </c>
      <c r="E26" s="18" t="n">
        <f aca="false">C26*D26/60</f>
        <v>23580.4772</v>
      </c>
      <c r="F26" s="21" t="n">
        <f aca="false">IFERROR(E26/$E$30,0)</f>
        <v>0.0419965576592083</v>
      </c>
    </row>
    <row r="27" customFormat="false" ht="15" hidden="false" customHeight="false" outlineLevel="0" collapsed="false">
      <c r="A27" s="30" t="s">
        <v>432</v>
      </c>
      <c r="B27" s="31" t="n">
        <v>0.04</v>
      </c>
      <c r="C27" s="18" t="n">
        <f aca="false">B27*$B$3</f>
        <v>231939.12</v>
      </c>
      <c r="D27" s="32" t="n">
        <v>5.5</v>
      </c>
      <c r="E27" s="18" t="n">
        <f aca="false">C27*D27/60</f>
        <v>21261.086</v>
      </c>
      <c r="F27" s="21" t="n">
        <f aca="false">IFERROR(E27/$E$30,0)</f>
        <v>0.0378657487091222</v>
      </c>
    </row>
    <row r="28" customFormat="false" ht="15" hidden="false" customHeight="false" outlineLevel="0" collapsed="false">
      <c r="A28" s="30" t="s">
        <v>433</v>
      </c>
      <c r="B28" s="31" t="n">
        <v>0.03</v>
      </c>
      <c r="C28" s="18" t="n">
        <f aca="false">B28*$B$3</f>
        <v>173954.34</v>
      </c>
      <c r="D28" s="32" t="n">
        <v>6.2</v>
      </c>
      <c r="E28" s="18" t="n">
        <f aca="false">C28*D28/60</f>
        <v>17975.2818</v>
      </c>
      <c r="F28" s="21" t="n">
        <f aca="false">IFERROR(E28/$E$30,0)</f>
        <v>0.032013769363167</v>
      </c>
    </row>
    <row r="29" customFormat="false" ht="15" hidden="false" customHeight="false" outlineLevel="0" collapsed="false">
      <c r="A29" s="30" t="s">
        <v>434</v>
      </c>
      <c r="B29" s="31" t="n">
        <v>0.1</v>
      </c>
      <c r="C29" s="18" t="n">
        <f aca="false">B29*$B$3</f>
        <v>579847.8</v>
      </c>
      <c r="D29" s="32" t="n">
        <v>5.3</v>
      </c>
      <c r="E29" s="18" t="n">
        <f aca="false">C29*D29/60</f>
        <v>51219.889</v>
      </c>
      <c r="F29" s="21" t="n">
        <f aca="false">IFERROR(E29/$E$30,0)</f>
        <v>0.0912220309810671</v>
      </c>
    </row>
    <row r="30" customFormat="false" ht="15" hidden="false" customHeight="false" outlineLevel="0" collapsed="false">
      <c r="A30" s="33" t="s">
        <v>423</v>
      </c>
      <c r="B30" s="34" t="n">
        <f aca="false">SUM(B24:B29)</f>
        <v>1</v>
      </c>
      <c r="C30" s="35" t="n">
        <f aca="false">SUM(C24:C29)</f>
        <v>5798478</v>
      </c>
      <c r="D30" s="36" t="n">
        <f aca="false">IFERROR(E30*60/C30,0)</f>
        <v>5.81</v>
      </c>
      <c r="E30" s="35" t="n">
        <f aca="false">SUM(E24:E29)</f>
        <v>561485.953</v>
      </c>
      <c r="F30" s="34" t="n">
        <f aca="false">SUM(F24:F29)</f>
        <v>1</v>
      </c>
      <c r="G30" s="37" t="str">
        <f aca="false">IF(ROUND(B30,4)=1,"OK: shares sum to 100%","CHECK: shares must sum to 100%")</f>
        <v>OK: shares sum to 100%</v>
      </c>
    </row>
    <row r="32" customFormat="false" ht="15" hidden="false" customHeight="false" outlineLevel="0" collapsed="false">
      <c r="A32" s="3" t="s">
        <v>435</v>
      </c>
    </row>
    <row r="33" customFormat="false" ht="30" hidden="false" customHeight="true" outlineLevel="0" collapsed="false">
      <c r="A33" s="13" t="s">
        <v>436</v>
      </c>
      <c r="B33" s="13" t="s">
        <v>426</v>
      </c>
      <c r="C33" s="13" t="s">
        <v>414</v>
      </c>
      <c r="D33" s="13" t="s">
        <v>104</v>
      </c>
      <c r="E33" s="13" t="s">
        <v>415</v>
      </c>
      <c r="F33" s="13" t="s">
        <v>416</v>
      </c>
    </row>
    <row r="34" customFormat="false" ht="15" hidden="false" customHeight="false" outlineLevel="0" collapsed="false">
      <c r="A34" s="30" t="s">
        <v>437</v>
      </c>
      <c r="B34" s="31" t="n">
        <v>0.76</v>
      </c>
      <c r="C34" s="18" t="n">
        <f aca="false">B34*$B$3</f>
        <v>4406843.28</v>
      </c>
      <c r="D34" s="32" t="n">
        <v>5.2</v>
      </c>
      <c r="E34" s="18" t="n">
        <f aca="false">C34*D34/60</f>
        <v>381926.4176</v>
      </c>
      <c r="F34" s="21" t="n">
        <f aca="false">IFERROR(E34/$E$38,0)</f>
        <v>0.673942701227831</v>
      </c>
    </row>
    <row r="35" customFormat="false" ht="15" hidden="false" customHeight="false" outlineLevel="0" collapsed="false">
      <c r="A35" s="30" t="s">
        <v>438</v>
      </c>
      <c r="B35" s="31" t="n">
        <v>0.16</v>
      </c>
      <c r="C35" s="18" t="n">
        <f aca="false">B35*$B$3</f>
        <v>927756.48</v>
      </c>
      <c r="D35" s="32" t="n">
        <v>8.1</v>
      </c>
      <c r="E35" s="18" t="n">
        <f aca="false">C35*D35/60</f>
        <v>125247.1248</v>
      </c>
      <c r="F35" s="21" t="n">
        <f aca="false">IFERROR(E35/$E$38,0)</f>
        <v>0.221009549795362</v>
      </c>
    </row>
    <row r="36" customFormat="false" ht="15" hidden="false" customHeight="false" outlineLevel="0" collapsed="false">
      <c r="A36" s="30" t="s">
        <v>439</v>
      </c>
      <c r="B36" s="31" t="n">
        <v>0.04</v>
      </c>
      <c r="C36" s="18" t="n">
        <f aca="false">B36*$B$3</f>
        <v>231939.12</v>
      </c>
      <c r="D36" s="32" t="n">
        <v>9.4</v>
      </c>
      <c r="E36" s="18" t="n">
        <f aca="false">C36*D36/60</f>
        <v>36337.1288</v>
      </c>
      <c r="F36" s="21" t="n">
        <f aca="false">IFERROR(E36/$E$38,0)</f>
        <v>0.0641200545702592</v>
      </c>
    </row>
    <row r="37" customFormat="false" ht="15" hidden="false" customHeight="false" outlineLevel="0" collapsed="false">
      <c r="A37" s="30" t="s">
        <v>440</v>
      </c>
      <c r="B37" s="31" t="n">
        <v>0.04</v>
      </c>
      <c r="C37" s="18" t="n">
        <f aca="false">B37*$B$3</f>
        <v>231939.12</v>
      </c>
      <c r="D37" s="32" t="n">
        <v>6</v>
      </c>
      <c r="E37" s="18" t="n">
        <f aca="false">C37*D37/60</f>
        <v>23193.912</v>
      </c>
      <c r="F37" s="21" t="n">
        <f aca="false">IFERROR(E37/$E$38,0)</f>
        <v>0.0409276944065484</v>
      </c>
    </row>
    <row r="38" customFormat="false" ht="15" hidden="false" customHeight="false" outlineLevel="0" collapsed="false">
      <c r="A38" s="33" t="s">
        <v>423</v>
      </c>
      <c r="B38" s="34" t="n">
        <f aca="false">SUM(B34:B37)</f>
        <v>1</v>
      </c>
      <c r="C38" s="35" t="n">
        <f aca="false">SUM(C34:C37)</f>
        <v>5798478</v>
      </c>
      <c r="D38" s="36" t="n">
        <f aca="false">IFERROR(E38*60/C38,0)</f>
        <v>5.864</v>
      </c>
      <c r="E38" s="35" t="n">
        <f aca="false">SUM(E34:E37)</f>
        <v>566704.5832</v>
      </c>
      <c r="F38" s="34" t="n">
        <f aca="false">SUM(F34:F37)</f>
        <v>1</v>
      </c>
      <c r="G38" s="37" t="str">
        <f aca="false">IF(ROUND(B38,4)=1,"OK: shares sum to 100%","CHECK: shares must sum to 100%")</f>
        <v>OK: shares sum to 100%</v>
      </c>
    </row>
    <row r="41" customFormat="false" ht="15" hidden="false" customHeight="false" outlineLevel="0" collapsed="false">
      <c r="A41" s="3" t="s">
        <v>441</v>
      </c>
    </row>
    <row r="42" customFormat="false" ht="30" hidden="false" customHeight="true" outlineLevel="0" collapsed="false">
      <c r="A42" s="13" t="s">
        <v>442</v>
      </c>
      <c r="B42" s="13" t="s">
        <v>426</v>
      </c>
      <c r="C42" s="13" t="s">
        <v>414</v>
      </c>
      <c r="D42" s="13" t="s">
        <v>104</v>
      </c>
      <c r="E42" s="13" t="s">
        <v>415</v>
      </c>
      <c r="F42" s="13" t="s">
        <v>416</v>
      </c>
    </row>
    <row r="43" customFormat="false" ht="15" hidden="false" customHeight="false" outlineLevel="0" collapsed="false">
      <c r="A43" s="30" t="s">
        <v>443</v>
      </c>
      <c r="B43" s="31" t="n">
        <v>0.27</v>
      </c>
      <c r="C43" s="18" t="n">
        <f aca="false">B43*$B$3</f>
        <v>1565589.06</v>
      </c>
      <c r="D43" s="32" t="n">
        <v>5.4</v>
      </c>
      <c r="E43" s="18" t="n">
        <f aca="false">C43*D43/60</f>
        <v>140903.0154</v>
      </c>
      <c r="F43" s="21" t="n">
        <f aca="false">IFERROR(E43/$E$50,0)</f>
        <v>0.266350018268177</v>
      </c>
    </row>
    <row r="44" customFormat="false" ht="15" hidden="false" customHeight="false" outlineLevel="0" collapsed="false">
      <c r="A44" s="30" t="s">
        <v>444</v>
      </c>
      <c r="B44" s="31" t="n">
        <v>0.24</v>
      </c>
      <c r="C44" s="18" t="n">
        <f aca="false">B44*$B$3</f>
        <v>1391634.72</v>
      </c>
      <c r="D44" s="32" t="n">
        <v>6.9</v>
      </c>
      <c r="E44" s="18" t="n">
        <f aca="false">C44*D44/60</f>
        <v>160037.9928</v>
      </c>
      <c r="F44" s="21" t="n">
        <f aca="false">IFERROR(E44/$E$50,0)</f>
        <v>0.302521008403361</v>
      </c>
    </row>
    <row r="45" customFormat="false" ht="15" hidden="false" customHeight="false" outlineLevel="0" collapsed="false">
      <c r="A45" s="30" t="s">
        <v>445</v>
      </c>
      <c r="B45" s="31" t="n">
        <v>0.18</v>
      </c>
      <c r="C45" s="18" t="n">
        <f aca="false">B45*$B$3</f>
        <v>1043726.04</v>
      </c>
      <c r="D45" s="32" t="n">
        <v>5.9</v>
      </c>
      <c r="E45" s="18" t="n">
        <f aca="false">C45*D45/60</f>
        <v>102633.0606</v>
      </c>
      <c r="F45" s="21" t="n">
        <f aca="false">IFERROR(E45/$E$50,0)</f>
        <v>0.194008037997808</v>
      </c>
    </row>
    <row r="46" customFormat="false" ht="15" hidden="false" customHeight="false" outlineLevel="0" collapsed="false">
      <c r="A46" s="30" t="s">
        <v>446</v>
      </c>
      <c r="B46" s="31" t="n">
        <v>0.12</v>
      </c>
      <c r="C46" s="18" t="n">
        <f aca="false">B46*$B$3</f>
        <v>695817.36</v>
      </c>
      <c r="D46" s="32" t="n">
        <v>0.6</v>
      </c>
      <c r="E46" s="18" t="n">
        <f aca="false">C46*D46/60</f>
        <v>6958.1736</v>
      </c>
      <c r="F46" s="21" t="n">
        <f aca="false">IFERROR(E46/$E$50,0)</f>
        <v>0.0131530873218853</v>
      </c>
    </row>
    <row r="47" customFormat="false" ht="15" hidden="false" customHeight="false" outlineLevel="0" collapsed="false">
      <c r="A47" s="30" t="s">
        <v>447</v>
      </c>
      <c r="B47" s="31" t="n">
        <v>0.08</v>
      </c>
      <c r="C47" s="18" t="n">
        <f aca="false">B47*$B$3</f>
        <v>463878.24</v>
      </c>
      <c r="D47" s="32" t="n">
        <v>6.2</v>
      </c>
      <c r="E47" s="18" t="n">
        <f aca="false">C47*D47/60</f>
        <v>47934.0848</v>
      </c>
      <c r="F47" s="21" t="n">
        <f aca="false">IFERROR(E47/$E$50,0)</f>
        <v>0.0906101571063208</v>
      </c>
    </row>
    <row r="48" customFormat="false" ht="15" hidden="false" customHeight="false" outlineLevel="0" collapsed="false">
      <c r="A48" s="30" t="s">
        <v>448</v>
      </c>
      <c r="B48" s="31" t="n">
        <v>0.06</v>
      </c>
      <c r="C48" s="18" t="n">
        <f aca="false">B48*$B$3</f>
        <v>347908.68</v>
      </c>
      <c r="D48" s="32" t="n">
        <v>6</v>
      </c>
      <c r="E48" s="18" t="n">
        <f aca="false">C48*D48/60</f>
        <v>34790.868</v>
      </c>
      <c r="F48" s="21" t="n">
        <f aca="false">IFERROR(E48/$E$50,0)</f>
        <v>0.0657654366094264</v>
      </c>
    </row>
    <row r="49" customFormat="false" ht="15" hidden="false" customHeight="false" outlineLevel="0" collapsed="false">
      <c r="A49" s="30" t="s">
        <v>449</v>
      </c>
      <c r="B49" s="31" t="n">
        <v>0.05</v>
      </c>
      <c r="C49" s="18" t="n">
        <f aca="false">B49*$B$3</f>
        <v>289923.9</v>
      </c>
      <c r="D49" s="32" t="n">
        <v>7.4</v>
      </c>
      <c r="E49" s="18" t="n">
        <f aca="false">C49*D49/60</f>
        <v>35757.281</v>
      </c>
      <c r="F49" s="21" t="n">
        <f aca="false">IFERROR(E49/$E$50,0)</f>
        <v>0.0675922542930216</v>
      </c>
    </row>
    <row r="50" customFormat="false" ht="15" hidden="false" customHeight="false" outlineLevel="0" collapsed="false">
      <c r="A50" s="33" t="s">
        <v>423</v>
      </c>
      <c r="B50" s="34" t="n">
        <f aca="false">SUM(B43:B49)</f>
        <v>1</v>
      </c>
      <c r="C50" s="35" t="n">
        <f aca="false">SUM(C43:C49)</f>
        <v>5798478</v>
      </c>
      <c r="D50" s="36" t="n">
        <f aca="false">IFERROR(E50*60/C50,0)</f>
        <v>5.474</v>
      </c>
      <c r="E50" s="35" t="n">
        <f aca="false">SUM(E43:E49)</f>
        <v>529014.4762</v>
      </c>
      <c r="F50" s="34" t="n">
        <f aca="false">SUM(F43:F49)</f>
        <v>1</v>
      </c>
      <c r="G50" s="37" t="str">
        <f aca="false">IF(ROUND(B50,4)=1,"OK: shares sum to 100%","CHECK: shares must sum to 100%")</f>
        <v>OK: shares sum to 100%</v>
      </c>
    </row>
    <row r="52" customFormat="false" ht="15" hidden="false" customHeight="false" outlineLevel="0" collapsed="false">
      <c r="A52" s="6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4"/>
  </cols>
  <sheetData>
    <row r="1" customFormat="false" ht="19.7" hidden="false" customHeight="false" outlineLevel="0" collapsed="false">
      <c r="A1" s="12" t="s">
        <v>451</v>
      </c>
    </row>
    <row r="2" customFormat="false" ht="15" hidden="false" customHeight="false" outlineLevel="0" collapsed="false">
      <c r="A2" s="6" t="s">
        <v>452</v>
      </c>
    </row>
    <row r="3" customFormat="false" ht="15" hidden="false" customHeight="false" outlineLevel="0" collapsed="false">
      <c r="A3" s="3" t="s">
        <v>453</v>
      </c>
    </row>
    <row r="4" customFormat="false" ht="31.5" hidden="false" customHeight="true" outlineLevel="0" collapsed="false">
      <c r="A4" s="13" t="s">
        <v>91</v>
      </c>
      <c r="B4" s="13" t="s">
        <v>454</v>
      </c>
      <c r="C4" s="13" t="s">
        <v>46</v>
      </c>
      <c r="D4" s="13" t="s">
        <v>49</v>
      </c>
      <c r="E4" s="13" t="s">
        <v>455</v>
      </c>
      <c r="F4" s="13" t="s">
        <v>105</v>
      </c>
      <c r="G4" s="13" t="s">
        <v>103</v>
      </c>
      <c r="H4" s="13" t="s">
        <v>51</v>
      </c>
      <c r="I4" s="13" t="s">
        <v>456</v>
      </c>
      <c r="J4" s="13" t="s">
        <v>106</v>
      </c>
      <c r="K4" s="13" t="s">
        <v>426</v>
      </c>
      <c r="L4" s="13" t="s">
        <v>457</v>
      </c>
    </row>
    <row r="5" customFormat="false" ht="15" hidden="false" customHeight="false" outlineLevel="0" collapsed="false">
      <c r="A5" s="30" t="s">
        <v>118</v>
      </c>
      <c r="B5" s="18" t="n">
        <f aca="false">COUNTIFS(Videos_Data!$C$2:$C$145,$A5)</f>
        <v>27</v>
      </c>
      <c r="C5" s="18" t="n">
        <f aca="false">SUMIFS(Videos_Data!$H$2:$H$145,Videos_Data!$C$2:$C$145,$A5)</f>
        <v>1109094</v>
      </c>
      <c r="D5" s="18" t="n">
        <f aca="false">IFERROR(C5/B5,0)</f>
        <v>41077.5555555556</v>
      </c>
      <c r="E5" s="25" t="n">
        <f aca="false">SUMIFS(Videos_Data!$L$2:$L$145,Videos_Data!$C$2:$C$145,$A5)</f>
        <v>58851.6</v>
      </c>
      <c r="F5" s="21" t="n">
        <f aca="false">IFERROR(AVERAGEIFS(Videos_Data!$S$2:$S$145,Videos_Data!$C$2:$C$145,$A5),0)</f>
        <v>0.55323713072446</v>
      </c>
      <c r="G5" s="21" t="n">
        <f aca="false">IFERROR(C5/SUMIFS(Videos_Data!$G$2:$G$145,Videos_Data!$C$2:$C$145,$A5),0)</f>
        <v>0.0677950208808082</v>
      </c>
      <c r="H5" s="19" t="n">
        <f aca="false">IFERROR((SUMIFS(Videos_Data!$I$2:$I$145,Videos_Data!$C$2:$C$145,$A5)+SUMIFS(Videos_Data!$J$2:$J$145,Videos_Data!$C$2:$C$145,$A5)+SUMIFS(Videos_Data!$K$2:$K$145,Videos_Data!$C$2:$C$145,$A5))/C5,0)</f>
        <v>0.0473079829121788</v>
      </c>
      <c r="I5" s="18" t="n">
        <f aca="false">SUMIFS(Videos_Data!$M$2:$M$145,Videos_Data!$C$2:$C$145,$A5)</f>
        <v>3354</v>
      </c>
      <c r="J5" s="20" t="n">
        <f aca="false">IFERROR(I5/C5,0)</f>
        <v>0.00302408993286412</v>
      </c>
      <c r="K5" s="21" t="n">
        <f aca="false">IFERROR(C5/$C$11,0)</f>
        <v>0.191273296199451</v>
      </c>
      <c r="L5" s="38" t="n">
        <f aca="false">RANK(D5,$D$5:$D$10)</f>
        <v>3</v>
      </c>
    </row>
    <row r="6" customFormat="false" ht="15" hidden="false" customHeight="false" outlineLevel="0" collapsed="false">
      <c r="A6" s="30" t="s">
        <v>111</v>
      </c>
      <c r="B6" s="18" t="n">
        <f aca="false">COUNTIFS(Videos_Data!$C$2:$C$145,$A6)</f>
        <v>39</v>
      </c>
      <c r="C6" s="18" t="n">
        <f aca="false">SUMIFS(Videos_Data!$H$2:$H$145,Videos_Data!$C$2:$C$145,$A6)</f>
        <v>2125437</v>
      </c>
      <c r="D6" s="18" t="n">
        <f aca="false">IFERROR(C6/B6,0)</f>
        <v>54498.3846153846</v>
      </c>
      <c r="E6" s="25" t="n">
        <f aca="false">SUMIFS(Videos_Data!$L$2:$L$145,Videos_Data!$C$2:$C$145,$A6)</f>
        <v>131014.8</v>
      </c>
      <c r="F6" s="21" t="n">
        <f aca="false">IFERROR(AVERAGEIFS(Videos_Data!$S$2:$S$145,Videos_Data!$C$2:$C$145,$A6),0)</f>
        <v>0.51286406937883</v>
      </c>
      <c r="G6" s="21" t="n">
        <f aca="false">IFERROR(C6/SUMIFS(Videos_Data!$G$2:$G$145,Videos_Data!$C$2:$C$145,$A6),0)</f>
        <v>0.0616456223262902</v>
      </c>
      <c r="H6" s="19" t="n">
        <f aca="false">IFERROR((SUMIFS(Videos_Data!$I$2:$I$145,Videos_Data!$C$2:$C$145,$A6)+SUMIFS(Videos_Data!$J$2:$J$145,Videos_Data!$C$2:$C$145,$A6)+SUMIFS(Videos_Data!$K$2:$K$145,Videos_Data!$C$2:$C$145,$A6))/C6,0)</f>
        <v>0.0503364719819971</v>
      </c>
      <c r="I6" s="18" t="n">
        <f aca="false">SUMIFS(Videos_Data!$M$2:$M$145,Videos_Data!$C$2:$C$145,$A6)</f>
        <v>9045</v>
      </c>
      <c r="J6" s="20" t="n">
        <f aca="false">IFERROR(I6/C6,0)</f>
        <v>0.00425559543755002</v>
      </c>
      <c r="K6" s="21" t="n">
        <f aca="false">IFERROR(C6/$C$11,0)</f>
        <v>0.366550843169535</v>
      </c>
      <c r="L6" s="38" t="n">
        <f aca="false">RANK(D6,$D$5:$D$10)</f>
        <v>1</v>
      </c>
    </row>
    <row r="7" customFormat="false" ht="15" hidden="false" customHeight="false" outlineLevel="0" collapsed="false">
      <c r="A7" s="30" t="s">
        <v>115</v>
      </c>
      <c r="B7" s="18" t="n">
        <f aca="false">COUNTIFS(Videos_Data!$C$2:$C$145,$A7)</f>
        <v>29</v>
      </c>
      <c r="C7" s="18" t="n">
        <f aca="false">SUMIFS(Videos_Data!$H$2:$H$145,Videos_Data!$C$2:$C$145,$A7)</f>
        <v>1234019</v>
      </c>
      <c r="D7" s="18" t="n">
        <f aca="false">IFERROR(C7/B7,0)</f>
        <v>42552.3793103448</v>
      </c>
      <c r="E7" s="25" t="n">
        <f aca="false">SUMIFS(Videos_Data!$L$2:$L$145,Videos_Data!$C$2:$C$145,$A7)</f>
        <v>79380.7</v>
      </c>
      <c r="F7" s="21" t="n">
        <f aca="false">IFERROR(AVERAGEIFS(Videos_Data!$S$2:$S$145,Videos_Data!$C$2:$C$145,$A7),0)</f>
        <v>0.515683379166991</v>
      </c>
      <c r="G7" s="21" t="n">
        <f aca="false">IFERROR(C7/SUMIFS(Videos_Data!$G$2:$G$145,Videos_Data!$C$2:$C$145,$A7),0)</f>
        <v>0.0584792021019585</v>
      </c>
      <c r="H7" s="19" t="n">
        <f aca="false">IFERROR((SUMIFS(Videos_Data!$I$2:$I$145,Videos_Data!$C$2:$C$145,$A7)+SUMIFS(Videos_Data!$J$2:$J$145,Videos_Data!$C$2:$C$145,$A7)+SUMIFS(Videos_Data!$K$2:$K$145,Videos_Data!$C$2:$C$145,$A7))/C7,0)</f>
        <v>0.0456281467303178</v>
      </c>
      <c r="I7" s="18" t="n">
        <f aca="false">SUMIFS(Videos_Data!$M$2:$M$145,Videos_Data!$C$2:$C$145,$A7)</f>
        <v>4866</v>
      </c>
      <c r="J7" s="20" t="n">
        <f aca="false">IFERROR(I7/C7,0)</f>
        <v>0.0039432131920173</v>
      </c>
      <c r="K7" s="21" t="n">
        <f aca="false">IFERROR(C7/$C$11,0)</f>
        <v>0.212817742862869</v>
      </c>
      <c r="L7" s="38" t="n">
        <f aca="false">RANK(D7,$D$5:$D$10)</f>
        <v>2</v>
      </c>
    </row>
    <row r="8" customFormat="false" ht="15" hidden="false" customHeight="false" outlineLevel="0" collapsed="false">
      <c r="A8" s="30" t="s">
        <v>128</v>
      </c>
      <c r="B8" s="18" t="n">
        <f aca="false">COUNTIFS(Videos_Data!$C$2:$C$145,$A8)</f>
        <v>38</v>
      </c>
      <c r="C8" s="18" t="n">
        <f aca="false">SUMIFS(Videos_Data!$H$2:$H$145,Videos_Data!$C$2:$C$145,$A8)</f>
        <v>1218057</v>
      </c>
      <c r="D8" s="18" t="n">
        <f aca="false">IFERROR(C8/B8,0)</f>
        <v>32054.1315789474</v>
      </c>
      <c r="E8" s="25" t="n">
        <f aca="false">SUMIFS(Videos_Data!$L$2:$L$145,Videos_Data!$C$2:$C$145,$A8)</f>
        <v>55199.9</v>
      </c>
      <c r="F8" s="21" t="n">
        <f aca="false">IFERROR(AVERAGEIFS(Videos_Data!$S$2:$S$145,Videos_Data!$C$2:$C$145,$A8),0)</f>
        <v>0.566329133509076</v>
      </c>
      <c r="G8" s="21" t="n">
        <f aca="false">IFERROR(C8/SUMIFS(Videos_Data!$G$2:$G$145,Videos_Data!$C$2:$C$145,$A8),0)</f>
        <v>0.069769835615525</v>
      </c>
      <c r="H8" s="19" t="n">
        <f aca="false">IFERROR((SUMIFS(Videos_Data!$I$2:$I$145,Videos_Data!$C$2:$C$145,$A8)+SUMIFS(Videos_Data!$J$2:$J$145,Videos_Data!$C$2:$C$145,$A8)+SUMIFS(Videos_Data!$K$2:$K$145,Videos_Data!$C$2:$C$145,$A8))/C8,0)</f>
        <v>0.0398626665254582</v>
      </c>
      <c r="I8" s="18" t="n">
        <f aca="false">SUMIFS(Videos_Data!$M$2:$M$145,Videos_Data!$C$2:$C$145,$A8)</f>
        <v>4450</v>
      </c>
      <c r="J8" s="20" t="n">
        <f aca="false">IFERROR(I8/C8,0)</f>
        <v>0.00365335940764677</v>
      </c>
      <c r="K8" s="21" t="n">
        <f aca="false">IFERROR(C8/$C$11,0)</f>
        <v>0.210064951526935</v>
      </c>
      <c r="L8" s="38" t="n">
        <f aca="false">RANK(D8,$D$5:$D$10)</f>
        <v>4</v>
      </c>
    </row>
    <row r="9" customFormat="false" ht="15" hidden="false" customHeight="false" outlineLevel="0" collapsed="false">
      <c r="A9" s="30" t="s">
        <v>165</v>
      </c>
      <c r="B9" s="18" t="n">
        <f aca="false">COUNTIFS(Videos_Data!$C$2:$C$145,$A9)</f>
        <v>5</v>
      </c>
      <c r="C9" s="18" t="n">
        <f aca="false">SUMIFS(Videos_Data!$H$2:$H$145,Videos_Data!$C$2:$C$145,$A9)</f>
        <v>70373</v>
      </c>
      <c r="D9" s="18" t="n">
        <f aca="false">IFERROR(C9/B9,0)</f>
        <v>14074.6</v>
      </c>
      <c r="E9" s="25" t="n">
        <f aca="false">SUMIFS(Videos_Data!$L$2:$L$145,Videos_Data!$C$2:$C$145,$A9)</f>
        <v>4504.3</v>
      </c>
      <c r="F9" s="21" t="n">
        <f aca="false">IFERROR(AVERAGEIFS(Videos_Data!$S$2:$S$145,Videos_Data!$C$2:$C$145,$A9),0)</f>
        <v>0.491929047208351</v>
      </c>
      <c r="G9" s="21" t="n">
        <f aca="false">IFERROR(C9/SUMIFS(Videos_Data!$G$2:$G$145,Videos_Data!$C$2:$C$145,$A9),0)</f>
        <v>0.0654644128593901</v>
      </c>
      <c r="H9" s="19" t="n">
        <f aca="false">IFERROR((SUMIFS(Videos_Data!$I$2:$I$145,Videos_Data!$C$2:$C$145,$A9)+SUMIFS(Videos_Data!$J$2:$J$145,Videos_Data!$C$2:$C$145,$A9)+SUMIFS(Videos_Data!$K$2:$K$145,Videos_Data!$C$2:$C$145,$A9))/C9,0)</f>
        <v>0.0626234493342617</v>
      </c>
      <c r="I9" s="18" t="n">
        <f aca="false">SUMIFS(Videos_Data!$M$2:$M$145,Videos_Data!$C$2:$C$145,$A9)</f>
        <v>258</v>
      </c>
      <c r="J9" s="20" t="n">
        <f aca="false">IFERROR(I9/C9,0)</f>
        <v>0.003666178790161</v>
      </c>
      <c r="K9" s="21" t="n">
        <f aca="false">IFERROR(C9/$C$11,0)</f>
        <v>0.0121364606367395</v>
      </c>
      <c r="L9" s="38" t="n">
        <f aca="false">RANK(D9,$D$5:$D$10)</f>
        <v>5</v>
      </c>
    </row>
    <row r="10" customFormat="false" ht="15" hidden="false" customHeight="false" outlineLevel="0" collapsed="false">
      <c r="A10" s="30" t="s">
        <v>202</v>
      </c>
      <c r="B10" s="18" t="n">
        <f aca="false">COUNTIFS(Videos_Data!$C$2:$C$145,$A10)</f>
        <v>6</v>
      </c>
      <c r="C10" s="18" t="n">
        <f aca="false">SUMIFS(Videos_Data!$H$2:$H$145,Videos_Data!$C$2:$C$145,$A10)</f>
        <v>41498</v>
      </c>
      <c r="D10" s="18" t="n">
        <f aca="false">IFERROR(C10/B10,0)</f>
        <v>6916.33333333333</v>
      </c>
      <c r="E10" s="25" t="n">
        <f aca="false">SUMIFS(Videos_Data!$L$2:$L$145,Videos_Data!$C$2:$C$145,$A10)</f>
        <v>5424.5</v>
      </c>
      <c r="F10" s="21" t="n">
        <f aca="false">IFERROR(AVERAGEIFS(Videos_Data!$S$2:$S$145,Videos_Data!$C$2:$C$145,$A10),0)</f>
        <v>0.361727552604332</v>
      </c>
      <c r="G10" s="21" t="n">
        <f aca="false">IFERROR(C10/SUMIFS(Videos_Data!$G$2:$G$145,Videos_Data!$C$2:$C$145,$A10),0)</f>
        <v>0.0513282917863354</v>
      </c>
      <c r="H10" s="19" t="n">
        <f aca="false">IFERROR((SUMIFS(Videos_Data!$I$2:$I$145,Videos_Data!$C$2:$C$145,$A10)+SUMIFS(Videos_Data!$J$2:$J$145,Videos_Data!$C$2:$C$145,$A10)+SUMIFS(Videos_Data!$K$2:$K$145,Videos_Data!$C$2:$C$145,$A10))/C10,0)</f>
        <v>0.0388211480071329</v>
      </c>
      <c r="I10" s="18" t="n">
        <f aca="false">SUMIFS(Videos_Data!$M$2:$M$145,Videos_Data!$C$2:$C$145,$A10)</f>
        <v>90</v>
      </c>
      <c r="J10" s="20" t="n">
        <f aca="false">IFERROR(I10/C10,0)</f>
        <v>0.00216877921827558</v>
      </c>
      <c r="K10" s="21" t="n">
        <f aca="false">IFERROR(C10/$C$11,0)</f>
        <v>0.00715670560447069</v>
      </c>
      <c r="L10" s="38" t="n">
        <f aca="false">RANK(D10,$D$5:$D$10)</f>
        <v>6</v>
      </c>
    </row>
    <row r="11" customFormat="false" ht="15" hidden="false" customHeight="false" outlineLevel="0" collapsed="false">
      <c r="A11" s="33" t="s">
        <v>458</v>
      </c>
      <c r="B11" s="35" t="n">
        <f aca="false">SUM(B5:B10)</f>
        <v>144</v>
      </c>
      <c r="C11" s="35" t="n">
        <f aca="false">SUM(C5:C10)</f>
        <v>5798478</v>
      </c>
      <c r="D11" s="35" t="n">
        <f aca="false">IFERROR(C11/B11,0)</f>
        <v>40267.2083333333</v>
      </c>
      <c r="E11" s="39" t="n">
        <f aca="false">SUM(E5:E10)</f>
        <v>334375.8</v>
      </c>
      <c r="F11" s="34" t="n">
        <f aca="false">AVERAGE(Videos_Data!$S$2:$S$145)</f>
        <v>0.528086367056876</v>
      </c>
      <c r="G11" s="34" t="n">
        <f aca="false">IFERROR(SUM(Videos_Data!$H$2:$H$145)/SUM(Videos_Data!$G$2:$G$145),0)</f>
        <v>0.0635231353977352</v>
      </c>
      <c r="H11" s="40" t="n">
        <f aca="false">IFERROR((SUM(Videos_Data!$I$2:$I$145)+SUM(Videos_Data!$J$2:$J$145)+SUM(Videos_Data!$K$2:$K$145))/SUM(Videos_Data!$H$2:$H$145),0)</f>
        <v>0.046621716940204</v>
      </c>
      <c r="I11" s="35" t="n">
        <f aca="false">SUM(I5:I10)</f>
        <v>22063</v>
      </c>
      <c r="J11" s="41" t="n">
        <f aca="false">IFERROR(I11/C11,0)</f>
        <v>0.00380496399227521</v>
      </c>
      <c r="K11" s="34" t="n">
        <f aca="false">SUM(K5:K10)</f>
        <v>1</v>
      </c>
      <c r="L11" s="42"/>
    </row>
    <row r="12" customFormat="false" ht="15" hidden="false" customHeight="false" outlineLevel="0" collapsed="false">
      <c r="A12" s="6" t="s">
        <v>459</v>
      </c>
    </row>
    <row r="14" customFormat="false" ht="15" hidden="false" customHeight="false" outlineLevel="0" collapsed="false">
      <c r="A14" s="3" t="s">
        <v>460</v>
      </c>
    </row>
    <row r="15" customFormat="false" ht="31.5" hidden="false" customHeight="true" outlineLevel="0" collapsed="false">
      <c r="A15" s="13" t="s">
        <v>92</v>
      </c>
      <c r="B15" s="13" t="s">
        <v>454</v>
      </c>
      <c r="C15" s="13" t="s">
        <v>46</v>
      </c>
      <c r="D15" s="13" t="s">
        <v>49</v>
      </c>
      <c r="E15" s="13" t="s">
        <v>455</v>
      </c>
      <c r="F15" s="13" t="s">
        <v>105</v>
      </c>
      <c r="G15" s="13" t="s">
        <v>103</v>
      </c>
      <c r="H15" s="13" t="s">
        <v>51</v>
      </c>
      <c r="I15" s="13" t="s">
        <v>456</v>
      </c>
      <c r="J15" s="13" t="s">
        <v>106</v>
      </c>
      <c r="K15" s="13" t="s">
        <v>426</v>
      </c>
      <c r="L15" s="13" t="s">
        <v>457</v>
      </c>
    </row>
    <row r="16" customFormat="false" ht="15" hidden="false" customHeight="false" outlineLevel="0" collapsed="false">
      <c r="A16" s="30" t="s">
        <v>112</v>
      </c>
      <c r="B16" s="18" t="n">
        <f aca="false">COUNTIFS(Videos_Data!$D$2:$D$145,$A16)</f>
        <v>108</v>
      </c>
      <c r="C16" s="18" t="n">
        <f aca="false">SUMIFS(Videos_Data!$H$2:$H$145,Videos_Data!$D$2:$D$145,$A16)</f>
        <v>3535285</v>
      </c>
      <c r="D16" s="18" t="n">
        <f aca="false">IFERROR(C16/B16,0)</f>
        <v>32734.1203703704</v>
      </c>
      <c r="E16" s="25" t="n">
        <f aca="false">SUMIFS(Videos_Data!$L$2:$L$145,Videos_Data!$D$2:$D$145,$A16)</f>
        <v>313592.1</v>
      </c>
      <c r="F16" s="21" t="n">
        <f aca="false">IFERROR(AVERAGEIFS(Videos_Data!$S$2:$S$145,Videos_Data!$D$2:$D$145,$A16),0)</f>
        <v>0.431507829939239</v>
      </c>
      <c r="G16" s="21" t="n">
        <f aca="false">IFERROR(C16/SUMIFS(Videos_Data!$G$2:$G$145,Videos_Data!$D$2:$D$145,$A16),0)</f>
        <v>0.0559106522698828</v>
      </c>
      <c r="H16" s="19" t="n">
        <f aca="false">IFERROR((SUMIFS(Videos_Data!$I$2:$I$145,Videos_Data!$D$2:$D$145,$A16)+SUMIFS(Videos_Data!$J$2:$J$145,Videos_Data!$D$2:$D$145,$A16)+SUMIFS(Videos_Data!$K$2:$K$145,Videos_Data!$D$2:$D$145,$A16))/C16,0)</f>
        <v>0.0494930394579221</v>
      </c>
      <c r="I16" s="18" t="n">
        <f aca="false">SUMIFS(Videos_Data!$M$2:$M$145,Videos_Data!$D$2:$D$145,$A16)</f>
        <v>17749</v>
      </c>
      <c r="J16" s="20" t="n">
        <f aca="false">IFERROR(I16/C16,0)</f>
        <v>0.00502052875510744</v>
      </c>
      <c r="K16" s="21" t="n">
        <f aca="false">IFERROR(C16/$C$18,0)</f>
        <v>0.609691888112708</v>
      </c>
      <c r="L16" s="38" t="n">
        <f aca="false">RANK(D16,$D$16:$D$17)</f>
        <v>2</v>
      </c>
    </row>
    <row r="17" customFormat="false" ht="15" hidden="false" customHeight="false" outlineLevel="0" collapsed="false">
      <c r="A17" s="30" t="s">
        <v>121</v>
      </c>
      <c r="B17" s="18" t="n">
        <f aca="false">COUNTIFS(Videos_Data!$D$2:$D$145,$A17)</f>
        <v>36</v>
      </c>
      <c r="C17" s="18" t="n">
        <f aca="false">SUMIFS(Videos_Data!$H$2:$H$145,Videos_Data!$D$2:$D$145,$A17)</f>
        <v>2263193</v>
      </c>
      <c r="D17" s="18" t="n">
        <f aca="false">IFERROR(C17/B17,0)</f>
        <v>62866.4722222222</v>
      </c>
      <c r="E17" s="25" t="n">
        <f aca="false">SUMIFS(Videos_Data!$L$2:$L$145,Videos_Data!$D$2:$D$145,$A17)</f>
        <v>20783.7</v>
      </c>
      <c r="F17" s="21" t="n">
        <f aca="false">IFERROR(AVERAGEIFS(Videos_Data!$S$2:$S$145,Videos_Data!$D$2:$D$145,$A17),0)</f>
        <v>0.817821978409789</v>
      </c>
      <c r="G17" s="21" t="n">
        <f aca="false">IFERROR(C17/SUMIFS(Videos_Data!$G$2:$G$145,Videos_Data!$D$2:$D$145,$A17),0)</f>
        <v>0.0806831407613935</v>
      </c>
      <c r="H17" s="19" t="n">
        <f aca="false">IFERROR((SUMIFS(Videos_Data!$I$2:$I$145,Videos_Data!$D$2:$D$145,$A17)+SUMIFS(Videos_Data!$J$2:$J$145,Videos_Data!$D$2:$D$145,$A17)+SUMIFS(Videos_Data!$K$2:$K$145,Videos_Data!$D$2:$D$145,$A17))/C17,0)</f>
        <v>0.0421364859293927</v>
      </c>
      <c r="I17" s="18" t="n">
        <f aca="false">SUMIFS(Videos_Data!$M$2:$M$145,Videos_Data!$D$2:$D$145,$A17)</f>
        <v>4314</v>
      </c>
      <c r="J17" s="20" t="n">
        <f aca="false">IFERROR(I17/C17,0)</f>
        <v>0.00190615647892159</v>
      </c>
      <c r="K17" s="21" t="n">
        <f aca="false">IFERROR(C17/$C$18,0)</f>
        <v>0.390308111887292</v>
      </c>
      <c r="L17" s="38" t="n">
        <f aca="false">RANK(D17,$D$16:$D$17)</f>
        <v>1</v>
      </c>
    </row>
    <row r="18" customFormat="false" ht="15" hidden="false" customHeight="false" outlineLevel="0" collapsed="false">
      <c r="A18" s="33" t="s">
        <v>458</v>
      </c>
      <c r="B18" s="35" t="n">
        <f aca="false">SUM(B16:B17)</f>
        <v>144</v>
      </c>
      <c r="C18" s="35" t="n">
        <f aca="false">SUM(C16:C17)</f>
        <v>5798478</v>
      </c>
      <c r="D18" s="35" t="n">
        <f aca="false">IFERROR(C18/B18,0)</f>
        <v>40267.2083333333</v>
      </c>
      <c r="E18" s="39" t="n">
        <f aca="false">SUM(E16:E17)</f>
        <v>334375.8</v>
      </c>
      <c r="F18" s="34" t="n">
        <f aca="false">AVERAGE(Videos_Data!$S$2:$S$145)</f>
        <v>0.528086367056876</v>
      </c>
      <c r="G18" s="34" t="n">
        <f aca="false">IFERROR(SUM(Videos_Data!$H$2:$H$145)/SUM(Videos_Data!$G$2:$G$145),0)</f>
        <v>0.0635231353977352</v>
      </c>
      <c r="H18" s="40" t="n">
        <f aca="false">IFERROR((SUM(Videos_Data!$I$2:$I$145)+SUM(Videos_Data!$J$2:$J$145)+SUM(Videos_Data!$K$2:$K$145))/SUM(Videos_Data!$H$2:$H$145),0)</f>
        <v>0.046621716940204</v>
      </c>
      <c r="I18" s="35" t="n">
        <f aca="false">SUM(I16:I17)</f>
        <v>22063</v>
      </c>
      <c r="J18" s="41" t="n">
        <f aca="false">IFERROR(I18/C18,0)</f>
        <v>0.00380496399227521</v>
      </c>
      <c r="K18" s="34" t="n">
        <f aca="false">SUM(K16:K17)</f>
        <v>1</v>
      </c>
      <c r="L18" s="42"/>
    </row>
    <row r="21" customFormat="false" ht="15" hidden="false" customHeight="false" outlineLevel="0" collapsed="false">
      <c r="A21" s="3" t="s">
        <v>461</v>
      </c>
    </row>
    <row r="22" customFormat="false" ht="31.5" hidden="false" customHeight="true" outlineLevel="0" collapsed="false">
      <c r="A22" s="13" t="s">
        <v>107</v>
      </c>
      <c r="B22" s="13" t="s">
        <v>454</v>
      </c>
      <c r="C22" s="13" t="s">
        <v>46</v>
      </c>
      <c r="D22" s="13" t="s">
        <v>49</v>
      </c>
      <c r="E22" s="13" t="s">
        <v>455</v>
      </c>
      <c r="F22" s="13" t="s">
        <v>105</v>
      </c>
      <c r="G22" s="13" t="s">
        <v>103</v>
      </c>
      <c r="H22" s="13" t="s">
        <v>51</v>
      </c>
      <c r="I22" s="13" t="s">
        <v>456</v>
      </c>
      <c r="J22" s="13" t="s">
        <v>106</v>
      </c>
      <c r="K22" s="13" t="s">
        <v>426</v>
      </c>
      <c r="L22" s="13" t="s">
        <v>457</v>
      </c>
    </row>
    <row r="23" customFormat="false" ht="15" hidden="false" customHeight="false" outlineLevel="0" collapsed="false">
      <c r="A23" s="30" t="s">
        <v>462</v>
      </c>
      <c r="B23" s="18" t="n">
        <f aca="false">COUNTIFS(Videos_Data!$U$2:$U$145,$A23)</f>
        <v>36</v>
      </c>
      <c r="C23" s="18" t="n">
        <f aca="false">SUMIFS(Videos_Data!$H$2:$H$145,Videos_Data!$U$2:$U$145,$A23)</f>
        <v>2263193</v>
      </c>
      <c r="D23" s="18" t="n">
        <f aca="false">IFERROR(C23/B23,0)</f>
        <v>62866.4722222222</v>
      </c>
      <c r="E23" s="25" t="n">
        <f aca="false">SUMIFS(Videos_Data!$L$2:$L$145,Videos_Data!$U$2:$U$145,$A23)</f>
        <v>20783.7</v>
      </c>
      <c r="F23" s="21" t="n">
        <f aca="false">IFERROR(AVERAGEIFS(Videos_Data!$S$2:$S$145,Videos_Data!$U$2:$U$145,$A23),0)</f>
        <v>0.817821978409789</v>
      </c>
      <c r="G23" s="21" t="n">
        <f aca="false">IFERROR(C23/SUMIFS(Videos_Data!$G$2:$G$145,Videos_Data!$U$2:$U$145,$A23),0)</f>
        <v>0.0806831407613935</v>
      </c>
      <c r="H23" s="19" t="n">
        <f aca="false">IFERROR((SUMIFS(Videos_Data!$I$2:$I$145,Videos_Data!$U$2:$U$145,$A23)+SUMIFS(Videos_Data!$J$2:$J$145,Videos_Data!$U$2:$U$145,$A23)+SUMIFS(Videos_Data!$K$2:$K$145,Videos_Data!$U$2:$U$145,$A23))/C23,0)</f>
        <v>0.0421364859293927</v>
      </c>
      <c r="I23" s="18" t="n">
        <f aca="false">SUMIFS(Videos_Data!$M$2:$M$145,Videos_Data!$U$2:$U$145,$A23)</f>
        <v>4314</v>
      </c>
      <c r="J23" s="20" t="n">
        <f aca="false">IFERROR(I23/C23,0)</f>
        <v>0.00190615647892159</v>
      </c>
      <c r="K23" s="21" t="n">
        <f aca="false">IFERROR(C23/$C$28,0)</f>
        <v>0.390308111887292</v>
      </c>
      <c r="L23" s="38" t="n">
        <f aca="false">RANK(D23,$D$23:$D$27)</f>
        <v>1</v>
      </c>
    </row>
    <row r="24" customFormat="false" ht="15" hidden="false" customHeight="false" outlineLevel="0" collapsed="false">
      <c r="A24" s="30" t="s">
        <v>463</v>
      </c>
      <c r="B24" s="18" t="n">
        <f aca="false">COUNTIFS(Videos_Data!$U$2:$U$145,$A24)</f>
        <v>4</v>
      </c>
      <c r="C24" s="18" t="n">
        <f aca="false">SUMIFS(Videos_Data!$H$2:$H$145,Videos_Data!$U$2:$U$145,$A24)</f>
        <v>83637</v>
      </c>
      <c r="D24" s="18" t="n">
        <f aca="false">IFERROR(C24/B24,0)</f>
        <v>20909.25</v>
      </c>
      <c r="E24" s="25" t="n">
        <f aca="false">SUMIFS(Videos_Data!$L$2:$L$145,Videos_Data!$U$2:$U$145,$A24)</f>
        <v>3194.3</v>
      </c>
      <c r="F24" s="21" t="n">
        <f aca="false">IFERROR(AVERAGEIFS(Videos_Data!$S$2:$S$145,Videos_Data!$U$2:$U$145,$A24),0)</f>
        <v>0.545406836598481</v>
      </c>
      <c r="G24" s="21" t="n">
        <f aca="false">IFERROR(C24/SUMIFS(Videos_Data!$G$2:$G$145,Videos_Data!$U$2:$U$145,$A24),0)</f>
        <v>0.0537778978028973</v>
      </c>
      <c r="H24" s="19" t="n">
        <f aca="false">IFERROR((SUMIFS(Videos_Data!$I$2:$I$145,Videos_Data!$U$2:$U$145,$A24)+SUMIFS(Videos_Data!$J$2:$J$145,Videos_Data!$U$2:$U$145,$A24)+SUMIFS(Videos_Data!$K$2:$K$145,Videos_Data!$U$2:$U$145,$A24))/C24,0)</f>
        <v>0.0554778387555747</v>
      </c>
      <c r="I24" s="18" t="n">
        <f aca="false">SUMIFS(Videos_Data!$M$2:$M$145,Videos_Data!$U$2:$U$145,$A24)</f>
        <v>429</v>
      </c>
      <c r="J24" s="20" t="n">
        <f aca="false">IFERROR(I24/C24,0)</f>
        <v>0.0051293087987374</v>
      </c>
      <c r="K24" s="21" t="n">
        <f aca="false">IFERROR(C24/$C$28,0)</f>
        <v>0.0144239574591815</v>
      </c>
      <c r="L24" s="38" t="n">
        <f aca="false">RANK(D24,$D$23:$D$27)</f>
        <v>4</v>
      </c>
    </row>
    <row r="25" customFormat="false" ht="15" hidden="false" customHeight="false" outlineLevel="0" collapsed="false">
      <c r="A25" s="30" t="s">
        <v>464</v>
      </c>
      <c r="B25" s="18" t="n">
        <f aca="false">COUNTIFS(Videos_Data!$U$2:$U$145,$A25)</f>
        <v>23</v>
      </c>
      <c r="C25" s="18" t="n">
        <f aca="false">SUMIFS(Videos_Data!$H$2:$H$145,Videos_Data!$U$2:$U$145,$A25)</f>
        <v>865464</v>
      </c>
      <c r="D25" s="18" t="n">
        <f aca="false">IFERROR(C25/B25,0)</f>
        <v>37628.8695652174</v>
      </c>
      <c r="E25" s="25" t="n">
        <f aca="false">SUMIFS(Videos_Data!$L$2:$L$145,Videos_Data!$U$2:$U$145,$A25)</f>
        <v>55878.9</v>
      </c>
      <c r="F25" s="21" t="n">
        <f aca="false">IFERROR(AVERAGEIFS(Videos_Data!$S$2:$S$145,Videos_Data!$U$2:$U$145,$A25),0)</f>
        <v>0.491676466978022</v>
      </c>
      <c r="G25" s="21" t="n">
        <f aca="false">IFERROR(C25/SUMIFS(Videos_Data!$G$2:$G$145,Videos_Data!$U$2:$U$145,$A25),0)</f>
        <v>0.0568512889718495</v>
      </c>
      <c r="H25" s="19" t="n">
        <f aca="false">IFERROR((SUMIFS(Videos_Data!$I$2:$I$145,Videos_Data!$U$2:$U$145,$A25)+SUMIFS(Videos_Data!$J$2:$J$145,Videos_Data!$U$2:$U$145,$A25)+SUMIFS(Videos_Data!$K$2:$K$145,Videos_Data!$U$2:$U$145,$A25))/C25,0)</f>
        <v>0.0505058558183818</v>
      </c>
      <c r="I25" s="18" t="n">
        <f aca="false">SUMIFS(Videos_Data!$M$2:$M$145,Videos_Data!$U$2:$U$145,$A25)</f>
        <v>4206</v>
      </c>
      <c r="J25" s="20" t="n">
        <f aca="false">IFERROR(I25/C25,0)</f>
        <v>0.00485982085909986</v>
      </c>
      <c r="K25" s="21" t="n">
        <f aca="false">IFERROR(C25/$C$28,0)</f>
        <v>0.149257098155757</v>
      </c>
      <c r="L25" s="38" t="n">
        <f aca="false">RANK(D25,$D$23:$D$27)</f>
        <v>2</v>
      </c>
    </row>
    <row r="26" customFormat="false" ht="15" hidden="false" customHeight="false" outlineLevel="0" collapsed="false">
      <c r="A26" s="30" t="s">
        <v>465</v>
      </c>
      <c r="B26" s="18" t="n">
        <f aca="false">COUNTIFS(Videos_Data!$U$2:$U$145,$A26)</f>
        <v>70</v>
      </c>
      <c r="C26" s="18" t="n">
        <f aca="false">SUMIFS(Videos_Data!$H$2:$H$145,Videos_Data!$U$2:$U$145,$A26)</f>
        <v>2455942</v>
      </c>
      <c r="D26" s="18" t="n">
        <f aca="false">IFERROR(C26/B26,0)</f>
        <v>35084.8857142857</v>
      </c>
      <c r="E26" s="25" t="n">
        <f aca="false">SUMIFS(Videos_Data!$L$2:$L$145,Videos_Data!$U$2:$U$145,$A26)</f>
        <v>238100.4</v>
      </c>
      <c r="F26" s="21" t="n">
        <f aca="false">IFERROR(AVERAGEIFS(Videos_Data!$S$2:$S$145,Videos_Data!$U$2:$U$145,$A26),0)</f>
        <v>0.41857068332052</v>
      </c>
      <c r="G26" s="21" t="n">
        <f aca="false">IFERROR(C26/SUMIFS(Videos_Data!$G$2:$G$145,Videos_Data!$U$2:$U$145,$A26),0)</f>
        <v>0.0562820282037829</v>
      </c>
      <c r="H26" s="19" t="n">
        <f aca="false">IFERROR((SUMIFS(Videos_Data!$I$2:$I$145,Videos_Data!$U$2:$U$145,$A26)+SUMIFS(Videos_Data!$J$2:$J$145,Videos_Data!$U$2:$U$145,$A26)+SUMIFS(Videos_Data!$K$2:$K$145,Videos_Data!$U$2:$U$145,$A26))/C26,0)</f>
        <v>0.0491904939123155</v>
      </c>
      <c r="I26" s="18" t="n">
        <f aca="false">SUMIFS(Videos_Data!$M$2:$M$145,Videos_Data!$U$2:$U$145,$A26)</f>
        <v>12447</v>
      </c>
      <c r="J26" s="20" t="n">
        <f aca="false">IFERROR(I26/C26,0)</f>
        <v>0.00506811642945965</v>
      </c>
      <c r="K26" s="21" t="n">
        <f aca="false">IFERROR(C26/$C$28,0)</f>
        <v>0.423549421072219</v>
      </c>
      <c r="L26" s="38" t="n">
        <f aca="false">RANK(D26,$D$23:$D$27)</f>
        <v>3</v>
      </c>
    </row>
    <row r="27" customFormat="false" ht="15" hidden="false" customHeight="false" outlineLevel="0" collapsed="false">
      <c r="A27" s="30" t="s">
        <v>466</v>
      </c>
      <c r="B27" s="18" t="n">
        <f aca="false">COUNTIFS(Videos_Data!$U$2:$U$145,$A27)</f>
        <v>11</v>
      </c>
      <c r="C27" s="18" t="n">
        <f aca="false">SUMIFS(Videos_Data!$H$2:$H$145,Videos_Data!$U$2:$U$145,$A27)</f>
        <v>130242</v>
      </c>
      <c r="D27" s="18" t="n">
        <f aca="false">IFERROR(C27/B27,0)</f>
        <v>11840.1818181818</v>
      </c>
      <c r="E27" s="25" t="n">
        <f aca="false">SUMIFS(Videos_Data!$L$2:$L$145,Videos_Data!$U$2:$U$145,$A27)</f>
        <v>16418.5</v>
      </c>
      <c r="F27" s="21" t="n">
        <f aca="false">IFERROR(AVERAGEIFS(Videos_Data!$S$2:$S$145,Videos_Data!$U$2:$U$145,$A27),0)</f>
        <v>0.34661015582845</v>
      </c>
      <c r="G27" s="21" t="n">
        <f aca="false">IFERROR(C27/SUMIFS(Videos_Data!$G$2:$G$145,Videos_Data!$U$2:$U$145,$A27),0)</f>
        <v>0.0462490185905842</v>
      </c>
      <c r="H27" s="19" t="n">
        <f aca="false">IFERROR((SUMIFS(Videos_Data!$I$2:$I$145,Videos_Data!$U$2:$U$145,$A27)+SUMIFS(Videos_Data!$J$2:$J$145,Videos_Data!$U$2:$U$145,$A27)+SUMIFS(Videos_Data!$K$2:$K$145,Videos_Data!$U$2:$U$145,$A27))/C27,0)</f>
        <v>0.0446246218577725</v>
      </c>
      <c r="I27" s="18" t="n">
        <f aca="false">SUMIFS(Videos_Data!$M$2:$M$145,Videos_Data!$U$2:$U$145,$A27)</f>
        <v>667</v>
      </c>
      <c r="J27" s="20" t="n">
        <f aca="false">IFERROR(I27/C27,0)</f>
        <v>0.00512123585325778</v>
      </c>
      <c r="K27" s="21" t="n">
        <f aca="false">IFERROR(C27/$C$28,0)</f>
        <v>0.0224614114255499</v>
      </c>
      <c r="L27" s="38" t="n">
        <f aca="false">RANK(D27,$D$23:$D$27)</f>
        <v>5</v>
      </c>
    </row>
    <row r="28" customFormat="false" ht="15" hidden="false" customHeight="false" outlineLevel="0" collapsed="false">
      <c r="A28" s="33" t="s">
        <v>458</v>
      </c>
      <c r="B28" s="35" t="n">
        <f aca="false">SUM(B23:B27)</f>
        <v>144</v>
      </c>
      <c r="C28" s="35" t="n">
        <f aca="false">SUM(C23:C27)</f>
        <v>5798478</v>
      </c>
      <c r="D28" s="35" t="n">
        <f aca="false">IFERROR(C28/B28,0)</f>
        <v>40267.2083333333</v>
      </c>
      <c r="E28" s="39" t="n">
        <f aca="false">SUM(E23:E27)</f>
        <v>334375.8</v>
      </c>
      <c r="F28" s="34" t="n">
        <f aca="false">AVERAGE(Videos_Data!$S$2:$S$145)</f>
        <v>0.528086367056876</v>
      </c>
      <c r="G28" s="34" t="n">
        <f aca="false">IFERROR(SUM(Videos_Data!$H$2:$H$145)/SUM(Videos_Data!$G$2:$G$145),0)</f>
        <v>0.0635231353977352</v>
      </c>
      <c r="H28" s="40" t="n">
        <f aca="false">IFERROR((SUM(Videos_Data!$I$2:$I$145)+SUM(Videos_Data!$J$2:$J$145)+SUM(Videos_Data!$K$2:$K$145))/SUM(Videos_Data!$H$2:$H$145),0)</f>
        <v>0.046621716940204</v>
      </c>
      <c r="I28" s="35" t="n">
        <f aca="false">SUM(I23:I27)</f>
        <v>22063</v>
      </c>
      <c r="J28" s="41" t="n">
        <f aca="false">IFERROR(I28/C28,0)</f>
        <v>0.00380496399227521</v>
      </c>
      <c r="K28" s="34" t="n">
        <f aca="false">SUM(K23:K27)</f>
        <v>1</v>
      </c>
      <c r="L28" s="42"/>
    </row>
  </sheetData>
  <conditionalFormatting sqref="D5:D10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H5:H10">
    <cfRule type="colorScale" priority="3">
      <colorScale>
        <cfvo type="min" val="0"/>
        <cfvo type="max" val="0"/>
        <color rgb="FFFFFFFF"/>
        <color rgb="FF5B9BD5"/>
      </colorScale>
    </cfRule>
  </conditionalFormatting>
  <conditionalFormatting sqref="D16:D17">
    <cfRule type="colorScale" priority="4">
      <colorScale>
        <cfvo type="min" val="0"/>
        <cfvo type="max" val="0"/>
        <color rgb="FFFFFFFF"/>
        <color rgb="FF63BE7B"/>
      </colorScale>
    </cfRule>
  </conditionalFormatting>
  <conditionalFormatting sqref="H16:H17">
    <cfRule type="colorScale" priority="5">
      <colorScale>
        <cfvo type="min" val="0"/>
        <cfvo type="max" val="0"/>
        <color rgb="FFFFFFFF"/>
        <color rgb="FF5B9BD5"/>
      </colorScale>
    </cfRule>
  </conditionalFormatting>
  <conditionalFormatting sqref="D23:D27">
    <cfRule type="colorScale" priority="6">
      <colorScale>
        <cfvo type="min" val="0"/>
        <cfvo type="max" val="0"/>
        <color rgb="FFFFFFFF"/>
        <color rgb="FF63BE7B"/>
      </colorScale>
    </cfRule>
  </conditionalFormatting>
  <conditionalFormatting sqref="H23:H27">
    <cfRule type="colorScale" priority="7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4"/>
  </cols>
  <sheetData>
    <row r="1" customFormat="false" ht="19.7" hidden="false" customHeight="false" outlineLevel="0" collapsed="false">
      <c r="A1" s="12" t="s">
        <v>467</v>
      </c>
    </row>
    <row r="2" customFormat="false" ht="15" hidden="false" customHeight="false" outlineLevel="0" collapsed="false">
      <c r="A2" s="6" t="s">
        <v>468</v>
      </c>
    </row>
    <row r="3" customFormat="false" ht="15" hidden="false" customHeight="false" outlineLevel="0" collapsed="false">
      <c r="A3" s="3" t="s">
        <v>469</v>
      </c>
    </row>
    <row r="4" customFormat="false" ht="31.5" hidden="false" customHeight="true" outlineLevel="0" collapsed="false">
      <c r="A4" s="13" t="s">
        <v>470</v>
      </c>
      <c r="B4" s="13" t="s">
        <v>454</v>
      </c>
      <c r="C4" s="13" t="s">
        <v>46</v>
      </c>
      <c r="D4" s="13" t="s">
        <v>49</v>
      </c>
      <c r="E4" s="13" t="s">
        <v>455</v>
      </c>
      <c r="F4" s="13" t="s">
        <v>105</v>
      </c>
      <c r="G4" s="13" t="s">
        <v>103</v>
      </c>
      <c r="H4" s="13" t="s">
        <v>51</v>
      </c>
      <c r="I4" s="13" t="s">
        <v>456</v>
      </c>
      <c r="J4" s="13" t="s">
        <v>106</v>
      </c>
      <c r="K4" s="13" t="s">
        <v>426</v>
      </c>
      <c r="L4" s="13" t="s">
        <v>457</v>
      </c>
    </row>
    <row r="5" customFormat="false" ht="15" hidden="false" customHeight="false" outlineLevel="0" collapsed="false">
      <c r="A5" s="30" t="s">
        <v>471</v>
      </c>
      <c r="B5" s="18" t="n">
        <f aca="false">COUNTIFS(Videos_Data!$O$2:$O$145,$A5)</f>
        <v>17</v>
      </c>
      <c r="C5" s="18" t="n">
        <f aca="false">SUMIFS(Videos_Data!$H$2:$H$145,Videos_Data!$O$2:$O$145,$A5)</f>
        <v>584514</v>
      </c>
      <c r="D5" s="18" t="n">
        <f aca="false">IFERROR(C5/B5,0)</f>
        <v>34383.1764705882</v>
      </c>
      <c r="E5" s="25" t="n">
        <f aca="false">SUMIFS(Videos_Data!$L$2:$L$145,Videos_Data!$O$2:$O$145,$A5)</f>
        <v>34062.7</v>
      </c>
      <c r="F5" s="21" t="n">
        <f aca="false">IFERROR(AVERAGEIFS(Videos_Data!$S$2:$S$145,Videos_Data!$O$2:$O$145,$A5),0)</f>
        <v>0.512594051184004</v>
      </c>
      <c r="G5" s="21" t="n">
        <f aca="false">IFERROR(C5/SUMIFS(Videos_Data!$G$2:$G$145,Videos_Data!$O$2:$O$145,$A5),0)</f>
        <v>0.0650052920491591</v>
      </c>
      <c r="H5" s="19" t="n">
        <f aca="false">IFERROR((SUMIFS(Videos_Data!$I$2:$I$145,Videos_Data!$O$2:$O$145,$A5)+SUMIFS(Videos_Data!$J$2:$J$145,Videos_Data!$O$2:$O$145,$A5)+SUMIFS(Videos_Data!$K$2:$K$145,Videos_Data!$O$2:$O$145,$A5))/C5,0)</f>
        <v>0.0460673311503232</v>
      </c>
      <c r="I5" s="18" t="n">
        <f aca="false">SUMIFS(Videos_Data!$M$2:$M$145,Videos_Data!$O$2:$O$145,$A5)</f>
        <v>2467</v>
      </c>
      <c r="J5" s="20" t="n">
        <f aca="false">IFERROR(I5/C5,0)</f>
        <v>0.00422060036201015</v>
      </c>
      <c r="K5" s="21" t="n">
        <f aca="false">IFERROR(C5/$C$12,0)</f>
        <v>0.100804728413215</v>
      </c>
      <c r="L5" s="38" t="n">
        <f aca="false">RANK(D5,$D$5:$D$11)</f>
        <v>6</v>
      </c>
    </row>
    <row r="6" customFormat="false" ht="15" hidden="false" customHeight="false" outlineLevel="0" collapsed="false">
      <c r="A6" s="30" t="s">
        <v>472</v>
      </c>
      <c r="B6" s="18" t="n">
        <f aca="false">COUNTIFS(Videos_Data!$O$2:$O$145,$A6)</f>
        <v>21</v>
      </c>
      <c r="C6" s="18" t="n">
        <f aca="false">SUMIFS(Videos_Data!$H$2:$H$145,Videos_Data!$O$2:$O$145,$A6)</f>
        <v>607747</v>
      </c>
      <c r="D6" s="18" t="n">
        <f aca="false">IFERROR(C6/B6,0)</f>
        <v>28940.3333333333</v>
      </c>
      <c r="E6" s="25" t="n">
        <f aca="false">SUMIFS(Videos_Data!$L$2:$L$145,Videos_Data!$O$2:$O$145,$A6)</f>
        <v>30013.2</v>
      </c>
      <c r="F6" s="21" t="n">
        <f aca="false">IFERROR(AVERAGEIFS(Videos_Data!$S$2:$S$145,Videos_Data!$O$2:$O$145,$A6),0)</f>
        <v>0.523014977935457</v>
      </c>
      <c r="G6" s="21" t="n">
        <f aca="false">IFERROR(C6/SUMIFS(Videos_Data!$G$2:$G$145,Videos_Data!$O$2:$O$145,$A6),0)</f>
        <v>0.065973583297827</v>
      </c>
      <c r="H6" s="19" t="n">
        <f aca="false">IFERROR((SUMIFS(Videos_Data!$I$2:$I$145,Videos_Data!$O$2:$O$145,$A6)+SUMIFS(Videos_Data!$J$2:$J$145,Videos_Data!$O$2:$O$145,$A6)+SUMIFS(Videos_Data!$K$2:$K$145,Videos_Data!$O$2:$O$145,$A6))/C6,0)</f>
        <v>0.0460323127880516</v>
      </c>
      <c r="I6" s="18" t="n">
        <f aca="false">SUMIFS(Videos_Data!$M$2:$M$145,Videos_Data!$O$2:$O$145,$A6)</f>
        <v>2296</v>
      </c>
      <c r="J6" s="20" t="n">
        <f aca="false">IFERROR(I6/C6,0)</f>
        <v>0.00377788783819583</v>
      </c>
      <c r="K6" s="21" t="n">
        <f aca="false">IFERROR(C6/$C$12,0)</f>
        <v>0.104811469492512</v>
      </c>
      <c r="L6" s="38" t="n">
        <f aca="false">RANK(D6,$D$5:$D$11)</f>
        <v>7</v>
      </c>
    </row>
    <row r="7" customFormat="false" ht="15" hidden="false" customHeight="false" outlineLevel="0" collapsed="false">
      <c r="A7" s="30" t="s">
        <v>473</v>
      </c>
      <c r="B7" s="18" t="n">
        <f aca="false">COUNTIFS(Videos_Data!$O$2:$O$145,$A7)</f>
        <v>23</v>
      </c>
      <c r="C7" s="18" t="n">
        <f aca="false">SUMIFS(Videos_Data!$H$2:$H$145,Videos_Data!$O$2:$O$145,$A7)</f>
        <v>1045270</v>
      </c>
      <c r="D7" s="18" t="n">
        <f aca="false">IFERROR(C7/B7,0)</f>
        <v>45446.5217391304</v>
      </c>
      <c r="E7" s="25" t="n">
        <f aca="false">SUMIFS(Videos_Data!$L$2:$L$145,Videos_Data!$O$2:$O$145,$A7)</f>
        <v>58940.6</v>
      </c>
      <c r="F7" s="21" t="n">
        <f aca="false">IFERROR(AVERAGEIFS(Videos_Data!$S$2:$S$145,Videos_Data!$O$2:$O$145,$A7),0)</f>
        <v>0.55598297379289</v>
      </c>
      <c r="G7" s="21" t="n">
        <f aca="false">IFERROR(C7/SUMIFS(Videos_Data!$G$2:$G$145,Videos_Data!$O$2:$O$145,$A7),0)</f>
        <v>0.0664234607304897</v>
      </c>
      <c r="H7" s="19" t="n">
        <f aca="false">IFERROR((SUMIFS(Videos_Data!$I$2:$I$145,Videos_Data!$O$2:$O$145,$A7)+SUMIFS(Videos_Data!$J$2:$J$145,Videos_Data!$O$2:$O$145,$A7)+SUMIFS(Videos_Data!$K$2:$K$145,Videos_Data!$O$2:$O$145,$A7))/C7,0)</f>
        <v>0.0480335224391784</v>
      </c>
      <c r="I7" s="18" t="n">
        <f aca="false">SUMIFS(Videos_Data!$M$2:$M$145,Videos_Data!$O$2:$O$145,$A7)</f>
        <v>4036</v>
      </c>
      <c r="J7" s="20" t="n">
        <f aca="false">IFERROR(I7/C7,0)</f>
        <v>0.00386120332545658</v>
      </c>
      <c r="K7" s="21" t="n">
        <f aca="false">IFERROR(C7/$C$12,0)</f>
        <v>0.180266269872887</v>
      </c>
      <c r="L7" s="38" t="n">
        <f aca="false">RANK(D7,$D$5:$D$11)</f>
        <v>2</v>
      </c>
    </row>
    <row r="8" customFormat="false" ht="15" hidden="false" customHeight="false" outlineLevel="0" collapsed="false">
      <c r="A8" s="30" t="s">
        <v>474</v>
      </c>
      <c r="B8" s="18" t="n">
        <f aca="false">COUNTIFS(Videos_Data!$O$2:$O$145,$A8)</f>
        <v>17</v>
      </c>
      <c r="C8" s="18" t="n">
        <f aca="false">SUMIFS(Videos_Data!$H$2:$H$145,Videos_Data!$O$2:$O$145,$A8)</f>
        <v>652260</v>
      </c>
      <c r="D8" s="18" t="n">
        <f aca="false">IFERROR(C8/B8,0)</f>
        <v>38368.2352941177</v>
      </c>
      <c r="E8" s="25" t="n">
        <f aca="false">SUMIFS(Videos_Data!$L$2:$L$145,Videos_Data!$O$2:$O$145,$A8)</f>
        <v>41386.1</v>
      </c>
      <c r="F8" s="21" t="n">
        <f aca="false">IFERROR(AVERAGEIFS(Videos_Data!$S$2:$S$145,Videos_Data!$O$2:$O$145,$A8),0)</f>
        <v>0.52899346704908</v>
      </c>
      <c r="G8" s="21" t="n">
        <f aca="false">IFERROR(C8/SUMIFS(Videos_Data!$G$2:$G$145,Videos_Data!$O$2:$O$145,$A8),0)</f>
        <v>0.056856763946539</v>
      </c>
      <c r="H8" s="19" t="n">
        <f aca="false">IFERROR((SUMIFS(Videos_Data!$I$2:$I$145,Videos_Data!$O$2:$O$145,$A8)+SUMIFS(Videos_Data!$J$2:$J$145,Videos_Data!$O$2:$O$145,$A8)+SUMIFS(Videos_Data!$K$2:$K$145,Videos_Data!$O$2:$O$145,$A8))/C8,0)</f>
        <v>0.0461932358262043</v>
      </c>
      <c r="I8" s="18" t="n">
        <f aca="false">SUMIFS(Videos_Data!$M$2:$M$145,Videos_Data!$O$2:$O$145,$A8)</f>
        <v>2592</v>
      </c>
      <c r="J8" s="20" t="n">
        <f aca="false">IFERROR(I8/C8,0)</f>
        <v>0.00397387544844081</v>
      </c>
      <c r="K8" s="21" t="n">
        <f aca="false">IFERROR(C8/$C$12,0)</f>
        <v>0.112488139128923</v>
      </c>
      <c r="L8" s="38" t="n">
        <f aca="false">RANK(D8,$D$5:$D$11)</f>
        <v>4</v>
      </c>
    </row>
    <row r="9" customFormat="false" ht="15" hidden="false" customHeight="false" outlineLevel="0" collapsed="false">
      <c r="A9" s="30" t="s">
        <v>475</v>
      </c>
      <c r="B9" s="18" t="n">
        <f aca="false">COUNTIFS(Videos_Data!$O$2:$O$145,$A9)</f>
        <v>28</v>
      </c>
      <c r="C9" s="18" t="n">
        <f aca="false">SUMIFS(Videos_Data!$H$2:$H$145,Videos_Data!$O$2:$O$145,$A9)</f>
        <v>1149772</v>
      </c>
      <c r="D9" s="18" t="n">
        <f aca="false">IFERROR(C9/B9,0)</f>
        <v>41063.2857142857</v>
      </c>
      <c r="E9" s="25" t="n">
        <f aca="false">SUMIFS(Videos_Data!$L$2:$L$145,Videos_Data!$O$2:$O$145,$A9)</f>
        <v>66777.5</v>
      </c>
      <c r="F9" s="21" t="n">
        <f aca="false">IFERROR(AVERAGEIFS(Videos_Data!$S$2:$S$145,Videos_Data!$O$2:$O$145,$A9),0)</f>
        <v>0.520074551290057</v>
      </c>
      <c r="G9" s="21" t="n">
        <f aca="false">IFERROR(C9/SUMIFS(Videos_Data!$G$2:$G$145,Videos_Data!$O$2:$O$145,$A9),0)</f>
        <v>0.0602065084307397</v>
      </c>
      <c r="H9" s="19" t="n">
        <f aca="false">IFERROR((SUMIFS(Videos_Data!$I$2:$I$145,Videos_Data!$O$2:$O$145,$A9)+SUMIFS(Videos_Data!$J$2:$J$145,Videos_Data!$O$2:$O$145,$A9)+SUMIFS(Videos_Data!$K$2:$K$145,Videos_Data!$O$2:$O$145,$A9))/C9,0)</f>
        <v>0.0482008606923808</v>
      </c>
      <c r="I9" s="18" t="n">
        <f aca="false">SUMIFS(Videos_Data!$M$2:$M$145,Videos_Data!$O$2:$O$145,$A9)</f>
        <v>4124</v>
      </c>
      <c r="J9" s="20" t="n">
        <f aca="false">IFERROR(I9/C9,0)</f>
        <v>0.00358679807822768</v>
      </c>
      <c r="K9" s="21" t="n">
        <f aca="false">IFERROR(C9/$C$12,0)</f>
        <v>0.198288585383958</v>
      </c>
      <c r="L9" s="38" t="n">
        <f aca="false">RANK(D9,$D$5:$D$11)</f>
        <v>3</v>
      </c>
    </row>
    <row r="10" customFormat="false" ht="15" hidden="false" customHeight="false" outlineLevel="0" collapsed="false">
      <c r="A10" s="30" t="s">
        <v>476</v>
      </c>
      <c r="B10" s="18" t="n">
        <f aca="false">COUNTIFS(Videos_Data!$O$2:$O$145,$A10)</f>
        <v>23</v>
      </c>
      <c r="C10" s="18" t="n">
        <f aca="false">SUMIFS(Videos_Data!$H$2:$H$145,Videos_Data!$O$2:$O$145,$A10)</f>
        <v>1203378</v>
      </c>
      <c r="D10" s="18" t="n">
        <f aca="false">IFERROR(C10/B10,0)</f>
        <v>52320.7826086957</v>
      </c>
      <c r="E10" s="25" t="n">
        <f aca="false">SUMIFS(Videos_Data!$L$2:$L$145,Videos_Data!$O$2:$O$145,$A10)</f>
        <v>55033.2</v>
      </c>
      <c r="F10" s="21" t="n">
        <f aca="false">IFERROR(AVERAGEIFS(Videos_Data!$S$2:$S$145,Videos_Data!$O$2:$O$145,$A10),0)</f>
        <v>0.560137130691031</v>
      </c>
      <c r="G10" s="21" t="n">
        <f aca="false">IFERROR(C10/SUMIFS(Videos_Data!$G$2:$G$145,Videos_Data!$O$2:$O$145,$A10),0)</f>
        <v>0.0661623523175033</v>
      </c>
      <c r="H10" s="19" t="n">
        <f aca="false">IFERROR((SUMIFS(Videos_Data!$I$2:$I$145,Videos_Data!$O$2:$O$145,$A10)+SUMIFS(Videos_Data!$J$2:$J$145,Videos_Data!$O$2:$O$145,$A10)+SUMIFS(Videos_Data!$K$2:$K$145,Videos_Data!$O$2:$O$145,$A10))/C10,0)</f>
        <v>0.0450398794061384</v>
      </c>
      <c r="I10" s="18" t="n">
        <f aca="false">SUMIFS(Videos_Data!$M$2:$M$145,Videos_Data!$O$2:$O$145,$A10)</f>
        <v>3972</v>
      </c>
      <c r="J10" s="20" t="n">
        <f aca="false">IFERROR(I10/C10,0)</f>
        <v>0.00330070850555686</v>
      </c>
      <c r="K10" s="21" t="n">
        <f aca="false">IFERROR(C10/$C$12,0)</f>
        <v>0.207533425150531</v>
      </c>
      <c r="L10" s="38" t="n">
        <f aca="false">RANK(D10,$D$5:$D$11)</f>
        <v>1</v>
      </c>
    </row>
    <row r="11" customFormat="false" ht="15" hidden="false" customHeight="false" outlineLevel="0" collapsed="false">
      <c r="A11" s="30" t="s">
        <v>477</v>
      </c>
      <c r="B11" s="18" t="n">
        <f aca="false">COUNTIFS(Videos_Data!$O$2:$O$145,$A11)</f>
        <v>15</v>
      </c>
      <c r="C11" s="18" t="n">
        <f aca="false">SUMIFS(Videos_Data!$H$2:$H$145,Videos_Data!$O$2:$O$145,$A11)</f>
        <v>555537</v>
      </c>
      <c r="D11" s="18" t="n">
        <f aca="false">IFERROR(C11/B11,0)</f>
        <v>37035.8</v>
      </c>
      <c r="E11" s="25" t="n">
        <f aca="false">SUMIFS(Videos_Data!$L$2:$L$145,Videos_Data!$O$2:$O$145,$A11)</f>
        <v>48162.5</v>
      </c>
      <c r="F11" s="21" t="n">
        <f aca="false">IFERROR(AVERAGEIFS(Videos_Data!$S$2:$S$145,Videos_Data!$O$2:$O$145,$A11),0)</f>
        <v>0.474752311355425</v>
      </c>
      <c r="G11" s="21" t="n">
        <f aca="false">IFERROR(C11/SUMIFS(Videos_Data!$G$2:$G$145,Videos_Data!$O$2:$O$145,$A11),0)</f>
        <v>0.0647196155526431</v>
      </c>
      <c r="H11" s="19" t="n">
        <f aca="false">IFERROR((SUMIFS(Videos_Data!$I$2:$I$145,Videos_Data!$O$2:$O$145,$A11)+SUMIFS(Videos_Data!$J$2:$J$145,Videos_Data!$O$2:$O$145,$A11)+SUMIFS(Videos_Data!$K$2:$K$145,Videos_Data!$O$2:$O$145,$A11))/C11,0)</f>
        <v>0.0458547315480337</v>
      </c>
      <c r="I11" s="18" t="n">
        <f aca="false">SUMIFS(Videos_Data!$M$2:$M$145,Videos_Data!$O$2:$O$145,$A11)</f>
        <v>2576</v>
      </c>
      <c r="J11" s="20" t="n">
        <f aca="false">IFERROR(I11/C11,0)</f>
        <v>0.0046369548742928</v>
      </c>
      <c r="K11" s="21" t="n">
        <f aca="false">IFERROR(C11/$C$12,0)</f>
        <v>0.0958073825579747</v>
      </c>
      <c r="L11" s="38" t="n">
        <f aca="false">RANK(D11,$D$5:$D$11)</f>
        <v>5</v>
      </c>
    </row>
    <row r="12" customFormat="false" ht="15" hidden="false" customHeight="false" outlineLevel="0" collapsed="false">
      <c r="A12" s="33" t="s">
        <v>458</v>
      </c>
      <c r="B12" s="35" t="n">
        <f aca="false">SUM(B5:B11)</f>
        <v>144</v>
      </c>
      <c r="C12" s="35" t="n">
        <f aca="false">SUM(C5:C11)</f>
        <v>5798478</v>
      </c>
      <c r="D12" s="35" t="n">
        <f aca="false">IFERROR(C12/B12,0)</f>
        <v>40267.2083333333</v>
      </c>
      <c r="E12" s="39" t="n">
        <f aca="false">SUM(E5:E11)</f>
        <v>334375.8</v>
      </c>
      <c r="F12" s="34" t="n">
        <f aca="false">AVERAGE(Videos_Data!$S$2:$S$145)</f>
        <v>0.528086367056876</v>
      </c>
      <c r="G12" s="34" t="n">
        <f aca="false">IFERROR(SUM(Videos_Data!$H$2:$H$145)/SUM(Videos_Data!$G$2:$G$145),0)</f>
        <v>0.0635231353977352</v>
      </c>
      <c r="H12" s="40" t="n">
        <f aca="false">IFERROR((SUM(Videos_Data!$I$2:$I$145)+SUM(Videos_Data!$J$2:$J$145)+SUM(Videos_Data!$K$2:$K$145))/SUM(Videos_Data!$H$2:$H$145),0)</f>
        <v>0.046621716940204</v>
      </c>
      <c r="I12" s="35" t="n">
        <f aca="false">SUM(I5:I11)</f>
        <v>22063</v>
      </c>
      <c r="J12" s="41" t="n">
        <f aca="false">IFERROR(I12/C12,0)</f>
        <v>0.00380496399227521</v>
      </c>
      <c r="K12" s="34" t="n">
        <f aca="false">SUM(K5:K11)</f>
        <v>1</v>
      </c>
      <c r="L12" s="42"/>
    </row>
    <row r="15" customFormat="false" ht="15" hidden="false" customHeight="false" outlineLevel="0" collapsed="false">
      <c r="A15" s="3" t="s">
        <v>478</v>
      </c>
    </row>
    <row r="16" customFormat="false" ht="31.5" hidden="false" customHeight="true" outlineLevel="0" collapsed="false">
      <c r="A16" s="13" t="s">
        <v>479</v>
      </c>
      <c r="B16" s="13" t="s">
        <v>454</v>
      </c>
      <c r="C16" s="13" t="s">
        <v>46</v>
      </c>
      <c r="D16" s="13" t="s">
        <v>49</v>
      </c>
      <c r="E16" s="13" t="s">
        <v>455</v>
      </c>
      <c r="F16" s="13" t="s">
        <v>105</v>
      </c>
      <c r="G16" s="13" t="s">
        <v>103</v>
      </c>
      <c r="H16" s="13" t="s">
        <v>51</v>
      </c>
      <c r="I16" s="13" t="s">
        <v>456</v>
      </c>
      <c r="J16" s="13" t="s">
        <v>106</v>
      </c>
      <c r="K16" s="13" t="s">
        <v>426</v>
      </c>
    </row>
    <row r="17" customFormat="false" ht="15" hidden="false" customHeight="false" outlineLevel="0" collapsed="false">
      <c r="A17" s="30" t="s">
        <v>480</v>
      </c>
      <c r="B17" s="18" t="n">
        <f aca="false">COUNTIFS(Videos_Data!$V$2:$V$145,$A17)</f>
        <v>106</v>
      </c>
      <c r="C17" s="18" t="n">
        <f aca="false">SUMIFS(Videos_Data!$H$2:$H$145,Videos_Data!$V$2:$V$145,$A17)</f>
        <v>4039563</v>
      </c>
      <c r="D17" s="18" t="n">
        <f aca="false">IFERROR(C17/B17,0)</f>
        <v>38109.0849056604</v>
      </c>
      <c r="E17" s="25" t="n">
        <f aca="false">SUMIFS(Videos_Data!$L$2:$L$145,Videos_Data!$V$2:$V$145,$A17)</f>
        <v>231180.1</v>
      </c>
      <c r="F17" s="21" t="n">
        <f aca="false">IFERROR(AVERAGEIFS(Videos_Data!$S$2:$S$145,Videos_Data!$V$2:$V$145,$A17),0)</f>
        <v>0.528679228112878</v>
      </c>
      <c r="G17" s="21" t="n">
        <f aca="false">IFERROR(C17/SUMIFS(Videos_Data!$G$2:$G$145,Videos_Data!$V$2:$V$145,$A17),0)</f>
        <v>0.0626198082175625</v>
      </c>
      <c r="H17" s="19" t="n">
        <f aca="false">IFERROR((SUMIFS(Videos_Data!$I$2:$I$145,Videos_Data!$V$2:$V$145,$A17)+SUMIFS(Videos_Data!$J$2:$J$145,Videos_Data!$V$2:$V$145,$A17)+SUMIFS(Videos_Data!$K$2:$K$145,Videos_Data!$V$2:$V$145,$A17))/C17,0)</f>
        <v>0.0471984222055703</v>
      </c>
      <c r="I17" s="18" t="n">
        <f aca="false">SUMIFS(Videos_Data!$M$2:$M$145,Videos_Data!$V$2:$V$145,$A17)</f>
        <v>15515</v>
      </c>
      <c r="J17" s="20" t="n">
        <f aca="false">IFERROR(I17/C17,0)</f>
        <v>0.00384076198341256</v>
      </c>
      <c r="K17" s="21" t="n">
        <f aca="false">IFERROR(C17/$C$19,0)</f>
        <v>0.696659192291494</v>
      </c>
    </row>
    <row r="18" customFormat="false" ht="15" hidden="false" customHeight="false" outlineLevel="0" collapsed="false">
      <c r="A18" s="30" t="s">
        <v>481</v>
      </c>
      <c r="B18" s="18" t="n">
        <f aca="false">COUNTIFS(Videos_Data!$V$2:$V$145,$A18)</f>
        <v>38</v>
      </c>
      <c r="C18" s="18" t="n">
        <f aca="false">SUMIFS(Videos_Data!$H$2:$H$145,Videos_Data!$V$2:$V$145,$A18)</f>
        <v>1758915</v>
      </c>
      <c r="D18" s="18" t="n">
        <f aca="false">IFERROR(C18/B18,0)</f>
        <v>46287.2368421053</v>
      </c>
      <c r="E18" s="25" t="n">
        <f aca="false">SUMIFS(Videos_Data!$L$2:$L$145,Videos_Data!$V$2:$V$145,$A18)</f>
        <v>103195.7</v>
      </c>
      <c r="F18" s="21" t="n">
        <f aca="false">IFERROR(AVERAGEIFS(Videos_Data!$S$2:$S$145,Videos_Data!$V$2:$V$145,$A18),0)</f>
        <v>0.526432596742766</v>
      </c>
      <c r="G18" s="21" t="n">
        <f aca="false">IFERROR(C18/SUMIFS(Videos_Data!$G$2:$G$145,Videos_Data!$V$2:$V$145,$A18),0)</f>
        <v>0.0656997762102949</v>
      </c>
      <c r="H18" s="19" t="n">
        <f aca="false">IFERROR((SUMIFS(Videos_Data!$I$2:$I$145,Videos_Data!$V$2:$V$145,$A18)+SUMIFS(Videos_Data!$J$2:$J$145,Videos_Data!$V$2:$V$145,$A18)+SUMIFS(Videos_Data!$K$2:$K$145,Videos_Data!$V$2:$V$145,$A18))/C18,0)</f>
        <v>0.0452972429025848</v>
      </c>
      <c r="I18" s="18" t="n">
        <f aca="false">SUMIFS(Videos_Data!$M$2:$M$145,Videos_Data!$V$2:$V$145,$A18)</f>
        <v>6548</v>
      </c>
      <c r="J18" s="20" t="n">
        <f aca="false">IFERROR(I18/C18,0)</f>
        <v>0.00372274953593551</v>
      </c>
      <c r="K18" s="21" t="n">
        <f aca="false">IFERROR(C18/$C$19,0)</f>
        <v>0.303340807708506</v>
      </c>
    </row>
    <row r="19" customFormat="false" ht="15" hidden="false" customHeight="false" outlineLevel="0" collapsed="false">
      <c r="A19" s="33" t="s">
        <v>458</v>
      </c>
      <c r="B19" s="35" t="n">
        <f aca="false">SUM(B17:B18)</f>
        <v>144</v>
      </c>
      <c r="C19" s="35" t="n">
        <f aca="false">SUM(C17:C18)</f>
        <v>5798478</v>
      </c>
      <c r="D19" s="35" t="n">
        <f aca="false">IFERROR(C19/B19,0)</f>
        <v>40267.2083333333</v>
      </c>
      <c r="E19" s="39" t="n">
        <f aca="false">SUM(E17:E18)</f>
        <v>334375.8</v>
      </c>
      <c r="F19" s="34" t="n">
        <f aca="false">AVERAGE(Videos_Data!$S$2:$S$145)</f>
        <v>0.528086367056876</v>
      </c>
      <c r="G19" s="34" t="n">
        <f aca="false">IFERROR(SUM(Videos_Data!$H$2:$H$145)/SUM(Videos_Data!$G$2:$G$145),0)</f>
        <v>0.0635231353977352</v>
      </c>
      <c r="H19" s="40" t="n">
        <f aca="false">IFERROR((SUM(Videos_Data!$I$2:$I$145)+SUM(Videos_Data!$J$2:$J$145)+SUM(Videos_Data!$K$2:$K$145))/SUM(Videos_Data!$H$2:$H$145),0)</f>
        <v>0.046621716940204</v>
      </c>
      <c r="I19" s="35" t="n">
        <f aca="false">SUM(I17:I18)</f>
        <v>22063</v>
      </c>
      <c r="J19" s="41" t="n">
        <f aca="false">IFERROR(I19/C19,0)</f>
        <v>0.00380496399227521</v>
      </c>
      <c r="K19" s="34" t="n">
        <f aca="false">SUM(K17:K18)</f>
        <v>1</v>
      </c>
    </row>
    <row r="22" customFormat="false" ht="15" hidden="false" customHeight="false" outlineLevel="0" collapsed="false">
      <c r="A22" s="3" t="s">
        <v>482</v>
      </c>
    </row>
    <row r="23" customFormat="false" ht="15" hidden="false" customHeight="false" outlineLevel="0" collapsed="false">
      <c r="A23" s="28" t="s">
        <v>483</v>
      </c>
      <c r="D23" s="43" t="n">
        <v>12500</v>
      </c>
    </row>
    <row r="24" customFormat="false" ht="31.5" hidden="false" customHeight="true" outlineLevel="0" collapsed="false">
      <c r="A24" s="13" t="s">
        <v>101</v>
      </c>
      <c r="B24" s="13" t="s">
        <v>484</v>
      </c>
      <c r="C24" s="13" t="s">
        <v>454</v>
      </c>
      <c r="D24" s="13" t="s">
        <v>96</v>
      </c>
      <c r="E24" s="13" t="s">
        <v>49</v>
      </c>
      <c r="F24" s="13" t="s">
        <v>47</v>
      </c>
      <c r="G24" s="13" t="s">
        <v>456</v>
      </c>
      <c r="H24" s="13" t="s">
        <v>51</v>
      </c>
      <c r="I24" s="13" t="s">
        <v>485</v>
      </c>
      <c r="J24" s="13" t="s">
        <v>486</v>
      </c>
      <c r="K24" s="13" t="s">
        <v>487</v>
      </c>
    </row>
    <row r="25" customFormat="false" ht="15" hidden="false" customHeight="false" outlineLevel="0" collapsed="false">
      <c r="A25" s="44" t="n">
        <v>45901</v>
      </c>
      <c r="B25" s="17" t="str">
        <f aca="false">TEXT(A25,"mmm yy")</f>
        <v>Sep 25</v>
      </c>
      <c r="C25" s="38" t="n">
        <f aca="false">COUNTIFS(Videos_Data!$N$2:$N$145,$A25)</f>
        <v>12</v>
      </c>
      <c r="D25" s="18" t="n">
        <f aca="false">SUMIFS(Videos_Data!$H$2:$H$145,Videos_Data!$N$2:$N$145,$A25)</f>
        <v>298232</v>
      </c>
      <c r="E25" s="18" t="n">
        <f aca="false">IFERROR(D25/C25,0)</f>
        <v>24852.6666666667</v>
      </c>
      <c r="F25" s="25" t="n">
        <f aca="false">SUMIFS(Videos_Data!$L$2:$L$145,Videos_Data!$N$2:$N$145,$A25)</f>
        <v>23044</v>
      </c>
      <c r="G25" s="18" t="n">
        <f aca="false">SUMIFS(Videos_Data!$M$2:$M$145,Videos_Data!$N$2:$N$145,$A25)</f>
        <v>1350</v>
      </c>
      <c r="H25" s="19" t="n">
        <f aca="false">IFERROR((SUMIFS(Videos_Data!$I$2:$I$145,Videos_Data!$N$2:$N$145,$A25)+SUMIFS(Videos_Data!$J$2:$J$145,Videos_Data!$N$2:$N$145,$A25)+SUMIFS(Videos_Data!$K$2:$K$145,Videos_Data!$N$2:$N$145,$A25))/D25,0)</f>
        <v>0.0471545642318732</v>
      </c>
      <c r="I25" s="21"/>
      <c r="J25" s="18" t="n">
        <f aca="false">$D$23+G25</f>
        <v>13850</v>
      </c>
      <c r="K25" s="38" t="n">
        <v>1</v>
      </c>
    </row>
    <row r="26" customFormat="false" ht="15" hidden="false" customHeight="false" outlineLevel="0" collapsed="false">
      <c r="A26" s="26" t="n">
        <f aca="false">EDATE(A25,1)</f>
        <v>45931</v>
      </c>
      <c r="B26" s="17" t="str">
        <f aca="false">TEXT(A26,"mmm yy")</f>
        <v>Oct 25</v>
      </c>
      <c r="C26" s="38" t="n">
        <f aca="false">COUNTIFS(Videos_Data!$N$2:$N$145,$A26)</f>
        <v>12</v>
      </c>
      <c r="D26" s="18" t="n">
        <f aca="false">SUMIFS(Videos_Data!$H$2:$H$145,Videos_Data!$N$2:$N$145,$A26)</f>
        <v>394539</v>
      </c>
      <c r="E26" s="18" t="n">
        <f aca="false">IFERROR(D26/C26,0)</f>
        <v>32878.25</v>
      </c>
      <c r="F26" s="25" t="n">
        <f aca="false">SUMIFS(Videos_Data!$L$2:$L$145,Videos_Data!$N$2:$N$145,$A26)</f>
        <v>25081.8</v>
      </c>
      <c r="G26" s="18" t="n">
        <f aca="false">SUMIFS(Videos_Data!$M$2:$M$145,Videos_Data!$N$2:$N$145,$A26)</f>
        <v>1558</v>
      </c>
      <c r="H26" s="19" t="n">
        <f aca="false">IFERROR((SUMIFS(Videos_Data!$I$2:$I$145,Videos_Data!$N$2:$N$145,$A26)+SUMIFS(Videos_Data!$J$2:$J$145,Videos_Data!$N$2:$N$145,$A26)+SUMIFS(Videos_Data!$K$2:$K$145,Videos_Data!$N$2:$N$145,$A26))/D26,0)</f>
        <v>0.042692864330269</v>
      </c>
      <c r="I26" s="21" t="n">
        <f aca="false">IFERROR(D26/D25-1,0)</f>
        <v>0.322926446524853</v>
      </c>
      <c r="J26" s="18" t="n">
        <f aca="false">J25+G26</f>
        <v>15408</v>
      </c>
      <c r="K26" s="38" t="n">
        <v>2</v>
      </c>
    </row>
    <row r="27" customFormat="false" ht="15" hidden="false" customHeight="false" outlineLevel="0" collapsed="false">
      <c r="A27" s="26" t="n">
        <f aca="false">EDATE(A26,1)</f>
        <v>45962</v>
      </c>
      <c r="B27" s="17" t="str">
        <f aca="false">TEXT(A27,"mmm yy")</f>
        <v>Nov 25</v>
      </c>
      <c r="C27" s="38" t="n">
        <f aca="false">COUNTIFS(Videos_Data!$N$2:$N$145,$A27)</f>
        <v>12</v>
      </c>
      <c r="D27" s="18" t="n">
        <f aca="false">SUMIFS(Videos_Data!$H$2:$H$145,Videos_Data!$N$2:$N$145,$A27)</f>
        <v>351098</v>
      </c>
      <c r="E27" s="18" t="n">
        <f aca="false">IFERROR(D27/C27,0)</f>
        <v>29258.1666666667</v>
      </c>
      <c r="F27" s="25" t="n">
        <f aca="false">SUMIFS(Videos_Data!$L$2:$L$145,Videos_Data!$N$2:$N$145,$A27)</f>
        <v>23839.7</v>
      </c>
      <c r="G27" s="18" t="n">
        <f aca="false">SUMIFS(Videos_Data!$M$2:$M$145,Videos_Data!$N$2:$N$145,$A27)</f>
        <v>1424</v>
      </c>
      <c r="H27" s="19" t="n">
        <f aca="false">IFERROR((SUMIFS(Videos_Data!$I$2:$I$145,Videos_Data!$N$2:$N$145,$A27)+SUMIFS(Videos_Data!$J$2:$J$145,Videos_Data!$N$2:$N$145,$A27)+SUMIFS(Videos_Data!$K$2:$K$145,Videos_Data!$N$2:$N$145,$A27))/D27,0)</f>
        <v>0.0469840329480658</v>
      </c>
      <c r="I27" s="21" t="n">
        <f aca="false">IFERROR(D27/D26-1,0)</f>
        <v>-0.110105718319355</v>
      </c>
      <c r="J27" s="18" t="n">
        <f aca="false">J26+G27</f>
        <v>16832</v>
      </c>
      <c r="K27" s="38" t="n">
        <v>3</v>
      </c>
    </row>
    <row r="28" customFormat="false" ht="15" hidden="false" customHeight="false" outlineLevel="0" collapsed="false">
      <c r="A28" s="26" t="n">
        <f aca="false">EDATE(A27,1)</f>
        <v>45992</v>
      </c>
      <c r="B28" s="17" t="str">
        <f aca="false">TEXT(A28,"mmm yy")</f>
        <v>Dec 25</v>
      </c>
      <c r="C28" s="38" t="n">
        <f aca="false">COUNTIFS(Videos_Data!$N$2:$N$145,$A28)</f>
        <v>12</v>
      </c>
      <c r="D28" s="18" t="n">
        <f aca="false">SUMIFS(Videos_Data!$H$2:$H$145,Videos_Data!$N$2:$N$145,$A28)</f>
        <v>522345</v>
      </c>
      <c r="E28" s="18" t="n">
        <f aca="false">IFERROR(D28/C28,0)</f>
        <v>43528.75</v>
      </c>
      <c r="F28" s="25" t="n">
        <f aca="false">SUMIFS(Videos_Data!$L$2:$L$145,Videos_Data!$N$2:$N$145,$A28)</f>
        <v>26667</v>
      </c>
      <c r="G28" s="18" t="n">
        <f aca="false">SUMIFS(Videos_Data!$M$2:$M$145,Videos_Data!$N$2:$N$145,$A28)</f>
        <v>1862</v>
      </c>
      <c r="H28" s="19" t="n">
        <f aca="false">IFERROR((SUMIFS(Videos_Data!$I$2:$I$145,Videos_Data!$N$2:$N$145,$A28)+SUMIFS(Videos_Data!$J$2:$J$145,Videos_Data!$N$2:$N$145,$A28)+SUMIFS(Videos_Data!$K$2:$K$145,Videos_Data!$N$2:$N$145,$A28))/D28,0)</f>
        <v>0.0460500244091549</v>
      </c>
      <c r="I28" s="21" t="n">
        <f aca="false">IFERROR(D28/D27-1,0)</f>
        <v>0.4877470108061</v>
      </c>
      <c r="J28" s="18" t="n">
        <f aca="false">J27+G28</f>
        <v>18694</v>
      </c>
      <c r="K28" s="38" t="n">
        <v>4</v>
      </c>
    </row>
    <row r="29" customFormat="false" ht="15" hidden="false" customHeight="false" outlineLevel="0" collapsed="false">
      <c r="A29" s="26" t="n">
        <f aca="false">EDATE(A28,1)</f>
        <v>46023</v>
      </c>
      <c r="B29" s="17" t="str">
        <f aca="false">TEXT(A29,"mmm yy")</f>
        <v>Jan 26</v>
      </c>
      <c r="C29" s="38" t="n">
        <f aca="false">COUNTIFS(Videos_Data!$N$2:$N$145,$A29)</f>
        <v>12</v>
      </c>
      <c r="D29" s="18" t="n">
        <f aca="false">SUMIFS(Videos_Data!$H$2:$H$145,Videos_Data!$N$2:$N$145,$A29)</f>
        <v>747752</v>
      </c>
      <c r="E29" s="18" t="n">
        <f aca="false">IFERROR(D29/C29,0)</f>
        <v>62312.6666666667</v>
      </c>
      <c r="F29" s="25" t="n">
        <f aca="false">SUMIFS(Videos_Data!$L$2:$L$145,Videos_Data!$N$2:$N$145,$A29)</f>
        <v>40031.6</v>
      </c>
      <c r="G29" s="18" t="n">
        <f aca="false">SUMIFS(Videos_Data!$M$2:$M$145,Videos_Data!$N$2:$N$145,$A29)</f>
        <v>2699</v>
      </c>
      <c r="H29" s="19" t="n">
        <f aca="false">IFERROR((SUMIFS(Videos_Data!$I$2:$I$145,Videos_Data!$N$2:$N$145,$A29)+SUMIFS(Videos_Data!$J$2:$J$145,Videos_Data!$N$2:$N$145,$A29)+SUMIFS(Videos_Data!$K$2:$K$145,Videos_Data!$N$2:$N$145,$A29))/D29,0)</f>
        <v>0.0491633589746333</v>
      </c>
      <c r="I29" s="21" t="n">
        <f aca="false">IFERROR(D29/D28-1,0)</f>
        <v>0.431528970316553</v>
      </c>
      <c r="J29" s="18" t="n">
        <f aca="false">J28+G29</f>
        <v>21393</v>
      </c>
      <c r="K29" s="38" t="n">
        <v>5</v>
      </c>
    </row>
    <row r="30" customFormat="false" ht="15" hidden="false" customHeight="false" outlineLevel="0" collapsed="false">
      <c r="A30" s="26" t="n">
        <f aca="false">EDATE(A29,1)</f>
        <v>46054</v>
      </c>
      <c r="B30" s="17" t="str">
        <f aca="false">TEXT(A30,"mmm yy")</f>
        <v>Feb 26</v>
      </c>
      <c r="C30" s="38" t="n">
        <f aca="false">COUNTIFS(Videos_Data!$N$2:$N$145,$A30)</f>
        <v>12</v>
      </c>
      <c r="D30" s="18" t="n">
        <f aca="false">SUMIFS(Videos_Data!$H$2:$H$145,Videos_Data!$N$2:$N$145,$A30)</f>
        <v>405646</v>
      </c>
      <c r="E30" s="18" t="n">
        <f aca="false">IFERROR(D30/C30,0)</f>
        <v>33803.8333333333</v>
      </c>
      <c r="F30" s="25" t="n">
        <f aca="false">SUMIFS(Videos_Data!$L$2:$L$145,Videos_Data!$N$2:$N$145,$A30)</f>
        <v>24767.5</v>
      </c>
      <c r="G30" s="18" t="n">
        <f aca="false">SUMIFS(Videos_Data!$M$2:$M$145,Videos_Data!$N$2:$N$145,$A30)</f>
        <v>1782</v>
      </c>
      <c r="H30" s="19" t="n">
        <f aca="false">IFERROR((SUMIFS(Videos_Data!$I$2:$I$145,Videos_Data!$N$2:$N$145,$A30)+SUMIFS(Videos_Data!$J$2:$J$145,Videos_Data!$N$2:$N$145,$A30)+SUMIFS(Videos_Data!$K$2:$K$145,Videos_Data!$N$2:$N$145,$A30))/D30,0)</f>
        <v>0.0435330312637127</v>
      </c>
      <c r="I30" s="21" t="n">
        <f aca="false">IFERROR(D30/D29-1,0)</f>
        <v>-0.457512651253357</v>
      </c>
      <c r="J30" s="18" t="n">
        <f aca="false">J29+G30</f>
        <v>23175</v>
      </c>
      <c r="K30" s="38" t="n">
        <v>6</v>
      </c>
    </row>
    <row r="31" customFormat="false" ht="15" hidden="false" customHeight="false" outlineLevel="0" collapsed="false">
      <c r="A31" s="26" t="n">
        <f aca="false">EDATE(A30,1)</f>
        <v>46082</v>
      </c>
      <c r="B31" s="17" t="str">
        <f aca="false">TEXT(A31,"mmm yy")</f>
        <v>Mar 26</v>
      </c>
      <c r="C31" s="38" t="n">
        <f aca="false">COUNTIFS(Videos_Data!$N$2:$N$145,$A31)</f>
        <v>12</v>
      </c>
      <c r="D31" s="18" t="n">
        <f aca="false">SUMIFS(Videos_Data!$H$2:$H$145,Videos_Data!$N$2:$N$145,$A31)</f>
        <v>532751</v>
      </c>
      <c r="E31" s="18" t="n">
        <f aca="false">IFERROR(D31/C31,0)</f>
        <v>44395.9166666667</v>
      </c>
      <c r="F31" s="25" t="n">
        <f aca="false">SUMIFS(Videos_Data!$L$2:$L$145,Videos_Data!$N$2:$N$145,$A31)</f>
        <v>31263</v>
      </c>
      <c r="G31" s="18" t="n">
        <f aca="false">SUMIFS(Videos_Data!$M$2:$M$145,Videos_Data!$N$2:$N$145,$A31)</f>
        <v>2124</v>
      </c>
      <c r="H31" s="19" t="n">
        <f aca="false">IFERROR((SUMIFS(Videos_Data!$I$2:$I$145,Videos_Data!$N$2:$N$145,$A31)+SUMIFS(Videos_Data!$J$2:$J$145,Videos_Data!$N$2:$N$145,$A31)+SUMIFS(Videos_Data!$K$2:$K$145,Videos_Data!$N$2:$N$145,$A31))/D31,0)</f>
        <v>0.0452387700820834</v>
      </c>
      <c r="I31" s="21" t="n">
        <f aca="false">IFERROR(D31/D30-1,0)</f>
        <v>0.313339709993443</v>
      </c>
      <c r="J31" s="18" t="n">
        <f aca="false">J30+G31</f>
        <v>25299</v>
      </c>
      <c r="K31" s="38" t="n">
        <v>7</v>
      </c>
    </row>
    <row r="32" customFormat="false" ht="15" hidden="false" customHeight="false" outlineLevel="0" collapsed="false">
      <c r="A32" s="26" t="n">
        <f aca="false">EDATE(A31,1)</f>
        <v>46113</v>
      </c>
      <c r="B32" s="17" t="str">
        <f aca="false">TEXT(A32,"mmm yy")</f>
        <v>Apr 26</v>
      </c>
      <c r="C32" s="38" t="n">
        <f aca="false">COUNTIFS(Videos_Data!$N$2:$N$145,$A32)</f>
        <v>12</v>
      </c>
      <c r="D32" s="18" t="n">
        <f aca="false">SUMIFS(Videos_Data!$H$2:$H$145,Videos_Data!$N$2:$N$145,$A32)</f>
        <v>468764</v>
      </c>
      <c r="E32" s="18" t="n">
        <f aca="false">IFERROR(D32/C32,0)</f>
        <v>39063.6666666667</v>
      </c>
      <c r="F32" s="25" t="n">
        <f aca="false">SUMIFS(Videos_Data!$L$2:$L$145,Videos_Data!$N$2:$N$145,$A32)</f>
        <v>23941.5</v>
      </c>
      <c r="G32" s="18" t="n">
        <f aca="false">SUMIFS(Videos_Data!$M$2:$M$145,Videos_Data!$N$2:$N$145,$A32)</f>
        <v>1584</v>
      </c>
      <c r="H32" s="19" t="n">
        <f aca="false">IFERROR((SUMIFS(Videos_Data!$I$2:$I$145,Videos_Data!$N$2:$N$145,$A32)+SUMIFS(Videos_Data!$J$2:$J$145,Videos_Data!$N$2:$N$145,$A32)+SUMIFS(Videos_Data!$K$2:$K$145,Videos_Data!$N$2:$N$145,$A32))/D32,0)</f>
        <v>0.0476913756175816</v>
      </c>
      <c r="I32" s="21" t="n">
        <f aca="false">IFERROR(D32/D31-1,0)</f>
        <v>-0.120106766575755</v>
      </c>
      <c r="J32" s="18" t="n">
        <f aca="false">J31+G32</f>
        <v>26883</v>
      </c>
      <c r="K32" s="38" t="n">
        <v>8</v>
      </c>
    </row>
    <row r="33" customFormat="false" ht="15" hidden="false" customHeight="false" outlineLevel="0" collapsed="false">
      <c r="A33" s="26" t="n">
        <f aca="false">EDATE(A32,1)</f>
        <v>46143</v>
      </c>
      <c r="B33" s="17" t="str">
        <f aca="false">TEXT(A33,"mmm yy")</f>
        <v>May 26</v>
      </c>
      <c r="C33" s="38" t="n">
        <f aca="false">COUNTIFS(Videos_Data!$N$2:$N$145,$A33)</f>
        <v>12</v>
      </c>
      <c r="D33" s="18" t="n">
        <f aca="false">SUMIFS(Videos_Data!$H$2:$H$145,Videos_Data!$N$2:$N$145,$A33)</f>
        <v>484604</v>
      </c>
      <c r="E33" s="18" t="n">
        <f aca="false">IFERROR(D33/C33,0)</f>
        <v>40383.6666666667</v>
      </c>
      <c r="F33" s="25" t="n">
        <f aca="false">SUMIFS(Videos_Data!$L$2:$L$145,Videos_Data!$N$2:$N$145,$A33)</f>
        <v>27810.9</v>
      </c>
      <c r="G33" s="18" t="n">
        <f aca="false">SUMIFS(Videos_Data!$M$2:$M$145,Videos_Data!$N$2:$N$145,$A33)</f>
        <v>1442</v>
      </c>
      <c r="H33" s="19" t="n">
        <f aca="false">IFERROR((SUMIFS(Videos_Data!$I$2:$I$145,Videos_Data!$N$2:$N$145,$A33)+SUMIFS(Videos_Data!$J$2:$J$145,Videos_Data!$N$2:$N$145,$A33)+SUMIFS(Videos_Data!$K$2:$K$145,Videos_Data!$N$2:$N$145,$A33))/D33,0)</f>
        <v>0.0476265156705269</v>
      </c>
      <c r="I33" s="21" t="n">
        <f aca="false">IFERROR(D33/D32-1,0)</f>
        <v>0.0337909907757421</v>
      </c>
      <c r="J33" s="18" t="n">
        <f aca="false">J32+G33</f>
        <v>28325</v>
      </c>
      <c r="K33" s="38" t="n">
        <v>9</v>
      </c>
    </row>
    <row r="34" customFormat="false" ht="15" hidden="false" customHeight="false" outlineLevel="0" collapsed="false">
      <c r="A34" s="26" t="n">
        <f aca="false">EDATE(A33,1)</f>
        <v>46174</v>
      </c>
      <c r="B34" s="17" t="str">
        <f aca="false">TEXT(A34,"mmm yy")</f>
        <v>Jun 26</v>
      </c>
      <c r="C34" s="38" t="n">
        <f aca="false">COUNTIFS(Videos_Data!$N$2:$N$145,$A34)</f>
        <v>12</v>
      </c>
      <c r="D34" s="18" t="n">
        <f aca="false">SUMIFS(Videos_Data!$H$2:$H$145,Videos_Data!$N$2:$N$145,$A34)</f>
        <v>472995</v>
      </c>
      <c r="E34" s="18" t="n">
        <f aca="false">IFERROR(D34/C34,0)</f>
        <v>39416.25</v>
      </c>
      <c r="F34" s="25" t="n">
        <f aca="false">SUMIFS(Videos_Data!$L$2:$L$145,Videos_Data!$N$2:$N$145,$A34)</f>
        <v>19563.3</v>
      </c>
      <c r="G34" s="18" t="n">
        <f aca="false">SUMIFS(Videos_Data!$M$2:$M$145,Videos_Data!$N$2:$N$145,$A34)</f>
        <v>1703</v>
      </c>
      <c r="H34" s="19" t="n">
        <f aca="false">IFERROR((SUMIFS(Videos_Data!$I$2:$I$145,Videos_Data!$N$2:$N$145,$A34)+SUMIFS(Videos_Data!$J$2:$J$145,Videos_Data!$N$2:$N$145,$A34)+SUMIFS(Videos_Data!$K$2:$K$145,Videos_Data!$N$2:$N$145,$A34))/D34,0)</f>
        <v>0.0480702755843085</v>
      </c>
      <c r="I34" s="21" t="n">
        <f aca="false">IFERROR(D34/D33-1,0)</f>
        <v>-0.0239556421325453</v>
      </c>
      <c r="J34" s="18" t="n">
        <f aca="false">J33+G34</f>
        <v>30028</v>
      </c>
      <c r="K34" s="38" t="n">
        <v>10</v>
      </c>
    </row>
    <row r="35" customFormat="false" ht="15" hidden="false" customHeight="false" outlineLevel="0" collapsed="false">
      <c r="A35" s="26" t="n">
        <f aca="false">EDATE(A34,1)</f>
        <v>46204</v>
      </c>
      <c r="B35" s="17" t="str">
        <f aca="false">TEXT(A35,"mmm yy")</f>
        <v>Jul 26</v>
      </c>
      <c r="C35" s="38" t="n">
        <f aca="false">COUNTIFS(Videos_Data!$N$2:$N$145,$A35)</f>
        <v>12</v>
      </c>
      <c r="D35" s="18" t="n">
        <f aca="false">SUMIFS(Videos_Data!$H$2:$H$145,Videos_Data!$N$2:$N$145,$A35)</f>
        <v>586765</v>
      </c>
      <c r="E35" s="18" t="n">
        <f aca="false">IFERROR(D35/C35,0)</f>
        <v>48897.0833333333</v>
      </c>
      <c r="F35" s="25" t="n">
        <f aca="false">SUMIFS(Videos_Data!$L$2:$L$145,Videos_Data!$N$2:$N$145,$A35)</f>
        <v>33965</v>
      </c>
      <c r="G35" s="18" t="n">
        <f aca="false">SUMIFS(Videos_Data!$M$2:$M$145,Videos_Data!$N$2:$N$145,$A35)</f>
        <v>2268</v>
      </c>
      <c r="H35" s="19" t="n">
        <f aca="false">IFERROR((SUMIFS(Videos_Data!$I$2:$I$145,Videos_Data!$N$2:$N$145,$A35)+SUMIFS(Videos_Data!$J$2:$J$145,Videos_Data!$N$2:$N$145,$A35)+SUMIFS(Videos_Data!$K$2:$K$145,Videos_Data!$N$2:$N$145,$A35))/D35,0)</f>
        <v>0.0482373693045768</v>
      </c>
      <c r="I35" s="21" t="n">
        <f aca="false">IFERROR(D35/D34-1,0)</f>
        <v>0.240531083838096</v>
      </c>
      <c r="J35" s="18" t="n">
        <f aca="false">J34+G35</f>
        <v>32296</v>
      </c>
      <c r="K35" s="38" t="n">
        <v>11</v>
      </c>
    </row>
    <row r="36" customFormat="false" ht="15" hidden="false" customHeight="false" outlineLevel="0" collapsed="false">
      <c r="A36" s="26" t="n">
        <f aca="false">EDATE(A35,1)</f>
        <v>46235</v>
      </c>
      <c r="B36" s="17" t="str">
        <f aca="false">TEXT(A36,"mmm yy")</f>
        <v>Aug 26</v>
      </c>
      <c r="C36" s="38" t="n">
        <f aca="false">COUNTIFS(Videos_Data!$N$2:$N$145,$A36)</f>
        <v>12</v>
      </c>
      <c r="D36" s="18" t="n">
        <f aca="false">SUMIFS(Videos_Data!$H$2:$H$145,Videos_Data!$N$2:$N$145,$A36)</f>
        <v>532987</v>
      </c>
      <c r="E36" s="18" t="n">
        <f aca="false">IFERROR(D36/C36,0)</f>
        <v>44415.5833333333</v>
      </c>
      <c r="F36" s="25" t="n">
        <f aca="false">SUMIFS(Videos_Data!$L$2:$L$145,Videos_Data!$N$2:$N$145,$A36)</f>
        <v>34400.5</v>
      </c>
      <c r="G36" s="18" t="n">
        <f aca="false">SUMIFS(Videos_Data!$M$2:$M$145,Videos_Data!$N$2:$N$145,$A36)</f>
        <v>2267</v>
      </c>
      <c r="H36" s="19" t="n">
        <f aca="false">IFERROR((SUMIFS(Videos_Data!$I$2:$I$145,Videos_Data!$N$2:$N$145,$A36)+SUMIFS(Videos_Data!$J$2:$J$145,Videos_Data!$N$2:$N$145,$A36)+SUMIFS(Videos_Data!$K$2:$K$145,Videos_Data!$N$2:$N$145,$A36))/D36,0)</f>
        <v>0.0448022184405999</v>
      </c>
      <c r="I36" s="21" t="n">
        <f aca="false">IFERROR(D36/D35-1,0)</f>
        <v>-0.0916516833826149</v>
      </c>
      <c r="J36" s="18" t="n">
        <f aca="false">J35+G36</f>
        <v>34563</v>
      </c>
      <c r="K36" s="38" t="n">
        <v>12</v>
      </c>
    </row>
    <row r="37" customFormat="false" ht="15" hidden="false" customHeight="false" outlineLevel="0" collapsed="false">
      <c r="A37" s="33" t="s">
        <v>423</v>
      </c>
      <c r="B37" s="42"/>
      <c r="C37" s="45" t="n">
        <f aca="false">SUM(C25:C36)</f>
        <v>144</v>
      </c>
      <c r="D37" s="35" t="n">
        <f aca="false">SUM(D25:D36)</f>
        <v>5798478</v>
      </c>
      <c r="E37" s="35" t="n">
        <f aca="false">IFERROR(D37/C37,0)</f>
        <v>40267.2083333333</v>
      </c>
      <c r="F37" s="39" t="n">
        <f aca="false">SUM(F25:F36)</f>
        <v>334375.8</v>
      </c>
      <c r="G37" s="35" t="n">
        <f aca="false">SUM(G25:G36)</f>
        <v>22063</v>
      </c>
      <c r="H37" s="40" t="n">
        <f aca="false">IFERROR((SUM(Videos_Data!$I$2:$I$145)+SUM(Videos_Data!$J$2:$J$145)+SUM(Videos_Data!$K$2:$K$145))/D37,0)</f>
        <v>0.046621716940204</v>
      </c>
      <c r="I37" s="42"/>
      <c r="J37" s="42"/>
      <c r="K37" s="42"/>
    </row>
    <row r="40" customFormat="false" ht="15" hidden="false" customHeight="false" outlineLevel="0" collapsed="false">
      <c r="A40" s="3" t="s">
        <v>488</v>
      </c>
    </row>
    <row r="41" customFormat="false" ht="15" hidden="false" customHeight="false" outlineLevel="0" collapsed="false">
      <c r="A41" s="13" t="s">
        <v>101</v>
      </c>
      <c r="B41" s="13" t="s">
        <v>484</v>
      </c>
      <c r="C41" s="13" t="s">
        <v>487</v>
      </c>
      <c r="D41" s="13" t="s">
        <v>489</v>
      </c>
    </row>
    <row r="42" customFormat="false" ht="15" hidden="false" customHeight="false" outlineLevel="0" collapsed="false">
      <c r="A42" s="26" t="n">
        <f aca="false">EDATE(A36,1)</f>
        <v>46266</v>
      </c>
      <c r="B42" s="17" t="str">
        <f aca="false">TEXT(A42,"mmm yy")</f>
        <v>Sep 26</v>
      </c>
      <c r="C42" s="38" t="n">
        <f aca="false">K36+1</f>
        <v>13</v>
      </c>
      <c r="D42" s="18" t="n">
        <f aca="false">FORECAST(C42,$D$25:$D$36,$K$25:$K$36)</f>
        <v>580185</v>
      </c>
    </row>
    <row r="43" customFormat="false" ht="15" hidden="false" customHeight="false" outlineLevel="0" collapsed="false">
      <c r="A43" s="26" t="n">
        <f aca="false">EDATE(A36,2)</f>
        <v>46296</v>
      </c>
      <c r="B43" s="17" t="str">
        <f aca="false">TEXT(A43,"mmm yy")</f>
        <v>Oct 26</v>
      </c>
      <c r="C43" s="38" t="n">
        <f aca="false">K36+2</f>
        <v>14</v>
      </c>
      <c r="D43" s="18" t="n">
        <f aca="false">FORECAST(C43,$D$25:$D$36,$K$25:$K$36)</f>
        <v>595104.769230769</v>
      </c>
    </row>
    <row r="44" customFormat="false" ht="15" hidden="false" customHeight="false" outlineLevel="0" collapsed="false">
      <c r="A44" s="26" t="n">
        <f aca="false">EDATE(A36,3)</f>
        <v>46327</v>
      </c>
      <c r="B44" s="17" t="str">
        <f aca="false">TEXT(A44,"mmm yy")</f>
        <v>Nov 26</v>
      </c>
      <c r="C44" s="38" t="n">
        <f aca="false">K36+3</f>
        <v>15</v>
      </c>
      <c r="D44" s="18" t="n">
        <f aca="false">FORECAST(C44,$D$25:$D$36,$K$25:$K$36)</f>
        <v>610024.538461539</v>
      </c>
    </row>
    <row r="46" customFormat="false" ht="15" hidden="false" customHeight="false" outlineLevel="0" collapsed="false">
      <c r="A46" s="30" t="s">
        <v>490</v>
      </c>
      <c r="D46" s="18" t="n">
        <f aca="false">SLOPE($D$25:$D$36,$K$25:$K$36)</f>
        <v>14919.7692307692</v>
      </c>
    </row>
    <row r="47" customFormat="false" ht="15" hidden="false" customHeight="false" outlineLevel="0" collapsed="false">
      <c r="A47" s="30" t="s">
        <v>491</v>
      </c>
      <c r="D47" s="27" t="n">
        <f aca="false">RSQ($D$25:$D$36,$K$25:$K$36)</f>
        <v>0.208004501302459</v>
      </c>
    </row>
  </sheetData>
  <conditionalFormatting sqref="D5:D11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H5:H11">
    <cfRule type="colorScale" priority="3">
      <colorScale>
        <cfvo type="min" val="0"/>
        <cfvo type="max" val="0"/>
        <color rgb="FFFFFFFF"/>
        <color rgb="FF5B9BD5"/>
      </colorScale>
    </cfRule>
  </conditionalFormatting>
  <conditionalFormatting sqref="D17:D18">
    <cfRule type="colorScale" priority="4">
      <colorScale>
        <cfvo type="min" val="0"/>
        <cfvo type="max" val="0"/>
        <color rgb="FFFFFFFF"/>
        <color rgb="FF63BE7B"/>
      </colorScale>
    </cfRule>
  </conditionalFormatting>
  <conditionalFormatting sqref="H17:H18">
    <cfRule type="colorScale" priority="5">
      <colorScale>
        <cfvo type="min" val="0"/>
        <cfvo type="max" val="0"/>
        <color rgb="FFFFFFFF"/>
        <color rgb="FF5B9BD5"/>
      </colorScale>
    </cfRule>
  </conditionalFormatting>
  <conditionalFormatting sqref="D25:D36">
    <cfRule type="colorScale" priority="6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2" t="s">
        <v>492</v>
      </c>
    </row>
    <row r="2" customFormat="false" ht="15" hidden="false" customHeight="false" outlineLevel="0" collapsed="false">
      <c r="A2" s="6" t="s">
        <v>493</v>
      </c>
    </row>
    <row r="3" customFormat="false" ht="15" hidden="false" customHeight="false" outlineLevel="0" collapsed="false">
      <c r="A3" s="3" t="s">
        <v>494</v>
      </c>
    </row>
    <row r="4" customFormat="false" ht="30" hidden="false" customHeight="true" outlineLevel="0" collapsed="false">
      <c r="A4" s="13" t="s">
        <v>495</v>
      </c>
      <c r="B4" s="13" t="s">
        <v>496</v>
      </c>
      <c r="C4" s="13" t="s">
        <v>90</v>
      </c>
      <c r="D4" s="13" t="s">
        <v>91</v>
      </c>
      <c r="E4" s="13" t="s">
        <v>92</v>
      </c>
      <c r="F4" s="13" t="s">
        <v>93</v>
      </c>
      <c r="G4" s="13" t="s">
        <v>94</v>
      </c>
      <c r="H4" s="13" t="s">
        <v>96</v>
      </c>
      <c r="I4" s="13" t="s">
        <v>51</v>
      </c>
      <c r="J4" s="13" t="s">
        <v>497</v>
      </c>
      <c r="K4" s="13" t="s">
        <v>456</v>
      </c>
    </row>
    <row r="5" customFormat="false" ht="15" hidden="false" customHeight="false" outlineLevel="0" collapsed="false">
      <c r="A5" s="46" t="n">
        <v>1</v>
      </c>
      <c r="B5" s="38" t="n">
        <f aca="false">MATCH(LARGE(Videos_Data!$H$2:$H$145,A5),Videos_Data!$H$2:$H$145,0)</f>
        <v>51</v>
      </c>
      <c r="C5" s="17" t="str">
        <f aca="false">INDEX(Videos_Data!$B$2:$B$145,$B5)</f>
        <v>Data Analyst in 60 Seconds</v>
      </c>
      <c r="D5" s="17" t="str">
        <f aca="false">INDEX(Videos_Data!$C$2:$C$145,$B5)</f>
        <v>Career Guidance</v>
      </c>
      <c r="E5" s="17" t="str">
        <f aca="false">INDEX(Videos_Data!$D$2:$D$145,$B5)</f>
        <v>Short</v>
      </c>
      <c r="F5" s="23" t="n">
        <f aca="false">INDEX(Videos_Data!$E$2:$E$145,$B5)</f>
        <v>46032</v>
      </c>
      <c r="G5" s="24" t="n">
        <f aca="false">INDEX(Videos_Data!$F$2:$F$145,$B5)</f>
        <v>0.92</v>
      </c>
      <c r="H5" s="18" t="n">
        <f aca="false">INDEX(Videos_Data!$H$2:$H$145,$B5)</f>
        <v>237418</v>
      </c>
      <c r="I5" s="19" t="n">
        <f aca="false">INDEX(Videos_Data!$Q$2:$Q$145,$B5)</f>
        <v>0.0512387434819601</v>
      </c>
      <c r="J5" s="21" t="n">
        <f aca="false">INDEX(Videos_Data!$P$2:$P$145,$B5)</f>
        <v>0.0828222742235041</v>
      </c>
      <c r="K5" s="18" t="n">
        <f aca="false">INDEX(Videos_Data!$M$2:$M$145,$B5)</f>
        <v>457</v>
      </c>
    </row>
    <row r="6" customFormat="false" ht="15" hidden="false" customHeight="false" outlineLevel="0" collapsed="false">
      <c r="A6" s="46" t="n">
        <v>2</v>
      </c>
      <c r="B6" s="38" t="n">
        <f aca="false">MATCH(LARGE(Videos_Data!$H$2:$H$145,A6),Videos_Data!$H$2:$H$145,0)</f>
        <v>57</v>
      </c>
      <c r="C6" s="17" t="str">
        <f aca="false">INDEX(Videos_Data!$B$2:$B$145,$B6)</f>
        <v>Management Trainee Salary and Career Path in India</v>
      </c>
      <c r="D6" s="17" t="str">
        <f aca="false">INDEX(Videos_Data!$C$2:$C$145,$B6)</f>
        <v>Career Guidance</v>
      </c>
      <c r="E6" s="17" t="str">
        <f aca="false">INDEX(Videos_Data!$D$2:$D$145,$B6)</f>
        <v>Long-form</v>
      </c>
      <c r="F6" s="23" t="n">
        <f aca="false">INDEX(Videos_Data!$E$2:$E$145,$B6)</f>
        <v>46043</v>
      </c>
      <c r="G6" s="24" t="n">
        <f aca="false">INDEX(Videos_Data!$F$2:$F$145,$B6)</f>
        <v>9.7</v>
      </c>
      <c r="H6" s="18" t="n">
        <f aca="false">INDEX(Videos_Data!$H$2:$H$145,$B6)</f>
        <v>112573</v>
      </c>
      <c r="I6" s="19" t="n">
        <f aca="false">INDEX(Videos_Data!$Q$2:$Q$145,$B6)</f>
        <v>0.0593303900580068</v>
      </c>
      <c r="J6" s="21" t="n">
        <f aca="false">INDEX(Videos_Data!$P$2:$P$145,$B6)</f>
        <v>0.072423181491246</v>
      </c>
      <c r="K6" s="18" t="n">
        <f aca="false">INDEX(Videos_Data!$M$2:$M$145,$B6)</f>
        <v>609</v>
      </c>
    </row>
    <row r="7" customFormat="false" ht="15" hidden="false" customHeight="false" outlineLevel="0" collapsed="false">
      <c r="A7" s="46" t="n">
        <v>3</v>
      </c>
      <c r="B7" s="38" t="n">
        <f aca="false">MATCH(LARGE(Videos_Data!$H$2:$H$145,A7),Videos_Data!$H$2:$H$145,0)</f>
        <v>116</v>
      </c>
      <c r="C7" s="17" t="str">
        <f aca="false">INDEX(Videos_Data!$B$2:$B$145,$B7)</f>
        <v>Business Analyst in 60 Seconds</v>
      </c>
      <c r="D7" s="17" t="str">
        <f aca="false">INDEX(Videos_Data!$C$2:$C$145,$B7)</f>
        <v>Career Guidance</v>
      </c>
      <c r="E7" s="17" t="str">
        <f aca="false">INDEX(Videos_Data!$D$2:$D$145,$B7)</f>
        <v>Short</v>
      </c>
      <c r="F7" s="23" t="n">
        <f aca="false">INDEX(Videos_Data!$E$2:$E$145,$B7)</f>
        <v>46192</v>
      </c>
      <c r="G7" s="24" t="n">
        <f aca="false">INDEX(Videos_Data!$F$2:$F$145,$B7)</f>
        <v>0.71</v>
      </c>
      <c r="H7" s="18" t="n">
        <f aca="false">INDEX(Videos_Data!$H$2:$H$145,$B7)</f>
        <v>107201</v>
      </c>
      <c r="I7" s="19" t="n">
        <f aca="false">INDEX(Videos_Data!$Q$2:$Q$145,$B7)</f>
        <v>0.053161817520359</v>
      </c>
      <c r="J7" s="21" t="n">
        <f aca="false">INDEX(Videos_Data!$P$2:$P$145,$B7)</f>
        <v>0.0527350129671826</v>
      </c>
      <c r="K7" s="18" t="n">
        <f aca="false">INDEX(Videos_Data!$M$2:$M$145,$B7)</f>
        <v>184</v>
      </c>
    </row>
    <row r="8" customFormat="false" ht="15" hidden="false" customHeight="false" outlineLevel="0" collapsed="false">
      <c r="A8" s="46" t="n">
        <v>4</v>
      </c>
      <c r="B8" s="38" t="n">
        <f aca="false">MATCH(LARGE(Videos_Data!$H$2:$H$145,A8),Videos_Data!$H$2:$H$145,0)</f>
        <v>84</v>
      </c>
      <c r="C8" s="17" t="str">
        <f aca="false">INDEX(Videos_Data!$B$2:$B$145,$B8)</f>
        <v>Amul in 60 Seconds</v>
      </c>
      <c r="D8" s="17" t="str">
        <f aca="false">INDEX(Videos_Data!$C$2:$C$145,$B8)</f>
        <v>Business Explainers</v>
      </c>
      <c r="E8" s="17" t="str">
        <f aca="false">INDEX(Videos_Data!$D$2:$D$145,$B8)</f>
        <v>Short</v>
      </c>
      <c r="F8" s="23" t="n">
        <f aca="false">INDEX(Videos_Data!$E$2:$E$145,$B8)</f>
        <v>46111</v>
      </c>
      <c r="G8" s="24" t="n">
        <f aca="false">INDEX(Videos_Data!$F$2:$F$145,$B8)</f>
        <v>0.88</v>
      </c>
      <c r="H8" s="18" t="n">
        <f aca="false">INDEX(Videos_Data!$H$2:$H$145,$B8)</f>
        <v>99834</v>
      </c>
      <c r="I8" s="19" t="n">
        <f aca="false">INDEX(Videos_Data!$Q$2:$Q$145,$B8)</f>
        <v>0.0389546647434742</v>
      </c>
      <c r="J8" s="21" t="n">
        <f aca="false">INDEX(Videos_Data!$P$2:$P$145,$B8)</f>
        <v>0.101297958090321</v>
      </c>
      <c r="K8" s="18" t="n">
        <f aca="false">INDEX(Videos_Data!$M$2:$M$145,$B8)</f>
        <v>135</v>
      </c>
    </row>
    <row r="9" customFormat="false" ht="15" hidden="false" customHeight="false" outlineLevel="0" collapsed="false">
      <c r="A9" s="46" t="n">
        <v>5</v>
      </c>
      <c r="B9" s="38" t="n">
        <f aca="false">MATCH(LARGE(Videos_Data!$H$2:$H$145,A9),Videos_Data!$H$2:$H$145,0)</f>
        <v>123</v>
      </c>
      <c r="C9" s="17" t="str">
        <f aca="false">INDEX(Videos_Data!$B$2:$B$145,$B9)</f>
        <v>3 Quick Tips: Marketing Executive</v>
      </c>
      <c r="D9" s="17" t="str">
        <f aca="false">INDEX(Videos_Data!$C$2:$C$145,$B9)</f>
        <v>Career Guidance</v>
      </c>
      <c r="E9" s="17" t="str">
        <f aca="false">INDEX(Videos_Data!$D$2:$D$145,$B9)</f>
        <v>Short</v>
      </c>
      <c r="F9" s="23" t="n">
        <f aca="false">INDEX(Videos_Data!$E$2:$E$145,$B9)</f>
        <v>46213</v>
      </c>
      <c r="G9" s="24" t="n">
        <f aca="false">INDEX(Videos_Data!$F$2:$F$145,$B9)</f>
        <v>0.73</v>
      </c>
      <c r="H9" s="18" t="n">
        <f aca="false">INDEX(Videos_Data!$H$2:$H$145,$B9)</f>
        <v>96669</v>
      </c>
      <c r="I9" s="19" t="n">
        <f aca="false">INDEX(Videos_Data!$Q$2:$Q$145,$B9)</f>
        <v>0.053171130352026</v>
      </c>
      <c r="J9" s="21" t="n">
        <f aca="false">INDEX(Videos_Data!$P$2:$P$145,$B9)</f>
        <v>0.06985551818777</v>
      </c>
      <c r="K9" s="18" t="n">
        <f aca="false">INDEX(Videos_Data!$M$2:$M$145,$B9)</f>
        <v>238</v>
      </c>
    </row>
    <row r="10" customFormat="false" ht="15" hidden="false" customHeight="false" outlineLevel="0" collapsed="false">
      <c r="A10" s="46" t="n">
        <v>6</v>
      </c>
      <c r="B10" s="38" t="n">
        <f aca="false">MATCH(LARGE(Videos_Data!$H$2:$H$145,A10),Videos_Data!$H$2:$H$145,0)</f>
        <v>104</v>
      </c>
      <c r="C10" s="17" t="str">
        <f aca="false">INDEX(Videos_Data!$B$2:$B$145,$B10)</f>
        <v>3 Quick Tips: HR Executive</v>
      </c>
      <c r="D10" s="17" t="str">
        <f aca="false">INDEX(Videos_Data!$C$2:$C$145,$B10)</f>
        <v>Career Guidance</v>
      </c>
      <c r="E10" s="17" t="str">
        <f aca="false">INDEX(Videos_Data!$D$2:$D$145,$B10)</f>
        <v>Short</v>
      </c>
      <c r="F10" s="23" t="n">
        <f aca="false">INDEX(Videos_Data!$E$2:$E$145,$B10)</f>
        <v>46151</v>
      </c>
      <c r="G10" s="24" t="n">
        <f aca="false">INDEX(Videos_Data!$F$2:$F$145,$B10)</f>
        <v>0.95</v>
      </c>
      <c r="H10" s="18" t="n">
        <f aca="false">INDEX(Videos_Data!$H$2:$H$145,$B10)</f>
        <v>88610</v>
      </c>
      <c r="I10" s="19" t="n">
        <f aca="false">INDEX(Videos_Data!$Q$2:$Q$145,$B10)</f>
        <v>0.0392167926870556</v>
      </c>
      <c r="J10" s="21" t="n">
        <f aca="false">INDEX(Videos_Data!$P$2:$P$145,$B10)</f>
        <v>0.070756901612692</v>
      </c>
      <c r="K10" s="18" t="n">
        <f aca="false">INDEX(Videos_Data!$M$2:$M$145,$B10)</f>
        <v>158</v>
      </c>
    </row>
    <row r="11" customFormat="false" ht="15" hidden="false" customHeight="false" outlineLevel="0" collapsed="false">
      <c r="A11" s="46" t="n">
        <v>7</v>
      </c>
      <c r="B11" s="38" t="n">
        <f aca="false">MATCH(LARGE(Videos_Data!$H$2:$H$145,A11),Videos_Data!$H$2:$H$145,0)</f>
        <v>73</v>
      </c>
      <c r="C11" s="17" t="str">
        <f aca="false">INDEX(Videos_Data!$B$2:$B$145,$B11)</f>
        <v>Business Analyst Interview Questions and Answers</v>
      </c>
      <c r="D11" s="17" t="str">
        <f aca="false">INDEX(Videos_Data!$C$2:$C$145,$B11)</f>
        <v>Career Guidance</v>
      </c>
      <c r="E11" s="17" t="str">
        <f aca="false">INDEX(Videos_Data!$D$2:$D$145,$B11)</f>
        <v>Long-form</v>
      </c>
      <c r="F11" s="23" t="n">
        <f aca="false">INDEX(Videos_Data!$E$2:$E$145,$B11)</f>
        <v>46085</v>
      </c>
      <c r="G11" s="24" t="n">
        <f aca="false">INDEX(Videos_Data!$F$2:$F$145,$B11)</f>
        <v>11.9</v>
      </c>
      <c r="H11" s="18" t="n">
        <f aca="false">INDEX(Videos_Data!$H$2:$H$145,$B11)</f>
        <v>88027</v>
      </c>
      <c r="I11" s="19" t="n">
        <f aca="false">INDEX(Videos_Data!$Q$2:$Q$145,$B11)</f>
        <v>0.0514842037102253</v>
      </c>
      <c r="J11" s="21" t="n">
        <f aca="false">INDEX(Videos_Data!$P$2:$P$145,$B11)</f>
        <v>0.0564298791745302</v>
      </c>
      <c r="K11" s="18" t="n">
        <f aca="false">INDEX(Videos_Data!$M$2:$M$145,$B11)</f>
        <v>492</v>
      </c>
    </row>
    <row r="12" customFormat="false" ht="15" hidden="false" customHeight="false" outlineLevel="0" collapsed="false">
      <c r="A12" s="46" t="n">
        <v>8</v>
      </c>
      <c r="B12" s="38" t="n">
        <f aca="false">MATCH(LARGE(Videos_Data!$H$2:$H$145,A12),Videos_Data!$H$2:$H$145,0)</f>
        <v>135</v>
      </c>
      <c r="C12" s="17" t="str">
        <f aca="false">INDEX(Videos_Data!$B$2:$B$145,$B12)</f>
        <v>AI Tools in 60 Seconds</v>
      </c>
      <c r="D12" s="17" t="str">
        <f aca="false">INDEX(Videos_Data!$C$2:$C$145,$B12)</f>
        <v>Excel &amp; Tech Tutorials</v>
      </c>
      <c r="E12" s="17" t="str">
        <f aca="false">INDEX(Videos_Data!$D$2:$D$145,$B12)</f>
        <v>Short</v>
      </c>
      <c r="F12" s="23" t="n">
        <f aca="false">INDEX(Videos_Data!$E$2:$E$145,$B12)</f>
        <v>46243</v>
      </c>
      <c r="G12" s="24" t="n">
        <f aca="false">INDEX(Videos_Data!$F$2:$F$145,$B12)</f>
        <v>0.75</v>
      </c>
      <c r="H12" s="18" t="n">
        <f aca="false">INDEX(Videos_Data!$H$2:$H$145,$B12)</f>
        <v>83165</v>
      </c>
      <c r="I12" s="19" t="n">
        <f aca="false">INDEX(Videos_Data!$Q$2:$Q$145,$B12)</f>
        <v>0.0327902362772801</v>
      </c>
      <c r="J12" s="21" t="n">
        <f aca="false">INDEX(Videos_Data!$P$2:$P$145,$B12)</f>
        <v>0.105433906195328</v>
      </c>
      <c r="K12" s="18" t="n">
        <f aca="false">INDEX(Videos_Data!$M$2:$M$145,$B12)</f>
        <v>153</v>
      </c>
    </row>
    <row r="13" customFormat="false" ht="15" hidden="false" customHeight="false" outlineLevel="0" collapsed="false">
      <c r="A13" s="46" t="n">
        <v>9</v>
      </c>
      <c r="B13" s="38" t="n">
        <f aca="false">MATCH(LARGE(Videos_Data!$H$2:$H$145,A13),Videos_Data!$H$2:$H$145,0)</f>
        <v>47</v>
      </c>
      <c r="C13" s="17" t="str">
        <f aca="false">INDEX(Videos_Data!$B$2:$B$145,$B13)</f>
        <v>Maruti Suzuki in 60 Seconds</v>
      </c>
      <c r="D13" s="17" t="str">
        <f aca="false">INDEX(Videos_Data!$C$2:$C$145,$B13)</f>
        <v>Business Explainers</v>
      </c>
      <c r="E13" s="17" t="str">
        <f aca="false">INDEX(Videos_Data!$D$2:$D$145,$B13)</f>
        <v>Short</v>
      </c>
      <c r="F13" s="23" t="n">
        <f aca="false">INDEX(Videos_Data!$E$2:$E$145,$B13)</f>
        <v>46015</v>
      </c>
      <c r="G13" s="24" t="n">
        <f aca="false">INDEX(Videos_Data!$F$2:$F$145,$B13)</f>
        <v>0.77</v>
      </c>
      <c r="H13" s="18" t="n">
        <f aca="false">INDEX(Videos_Data!$H$2:$H$145,$B13)</f>
        <v>82676</v>
      </c>
      <c r="I13" s="19" t="n">
        <f aca="false">INDEX(Videos_Data!$Q$2:$Q$145,$B13)</f>
        <v>0.0400599932265712</v>
      </c>
      <c r="J13" s="21" t="n">
        <f aca="false">INDEX(Videos_Data!$P$2:$P$145,$B13)</f>
        <v>0.080420995292012</v>
      </c>
      <c r="K13" s="18" t="n">
        <f aca="false">INDEX(Videos_Data!$M$2:$M$145,$B13)</f>
        <v>117</v>
      </c>
    </row>
    <row r="14" customFormat="false" ht="15" hidden="false" customHeight="false" outlineLevel="0" collapsed="false">
      <c r="A14" s="46" t="n">
        <v>10</v>
      </c>
      <c r="B14" s="38" t="n">
        <f aca="false">MATCH(LARGE(Videos_Data!$H$2:$H$145,A14),Videos_Data!$H$2:$H$145,0)</f>
        <v>95</v>
      </c>
      <c r="C14" s="17" t="str">
        <f aca="false">INDEX(Videos_Data!$B$2:$B$145,$B14)</f>
        <v>Credit Score in 60 Seconds</v>
      </c>
      <c r="D14" s="17" t="str">
        <f aca="false">INDEX(Videos_Data!$C$2:$C$145,$B14)</f>
        <v>Finance &amp; Investing</v>
      </c>
      <c r="E14" s="17" t="str">
        <f aca="false">INDEX(Videos_Data!$D$2:$D$145,$B14)</f>
        <v>Short</v>
      </c>
      <c r="F14" s="23" t="n">
        <f aca="false">INDEX(Videos_Data!$E$2:$E$145,$B14)</f>
        <v>46130</v>
      </c>
      <c r="G14" s="24" t="n">
        <f aca="false">INDEX(Videos_Data!$F$2:$F$145,$B14)</f>
        <v>0.47</v>
      </c>
      <c r="H14" s="18" t="n">
        <f aca="false">INDEX(Videos_Data!$H$2:$H$145,$B14)</f>
        <v>78870</v>
      </c>
      <c r="I14" s="19" t="n">
        <f aca="false">INDEX(Videos_Data!$Q$2:$Q$145,$B14)</f>
        <v>0.0476226702168125</v>
      </c>
      <c r="J14" s="21" t="n">
        <f aca="false">INDEX(Videos_Data!$P$2:$P$145,$B14)</f>
        <v>0.0606567261518395</v>
      </c>
      <c r="K14" s="18" t="n">
        <f aca="false">INDEX(Videos_Data!$M$2:$M$145,$B14)</f>
        <v>127</v>
      </c>
    </row>
    <row r="16" customFormat="false" ht="15" hidden="false" customHeight="false" outlineLevel="0" collapsed="false">
      <c r="A16" s="3" t="s">
        <v>498</v>
      </c>
    </row>
    <row r="17" customFormat="false" ht="30" hidden="false" customHeight="true" outlineLevel="0" collapsed="false">
      <c r="A17" s="13" t="s">
        <v>495</v>
      </c>
      <c r="B17" s="13" t="s">
        <v>496</v>
      </c>
      <c r="C17" s="13" t="s">
        <v>90</v>
      </c>
      <c r="D17" s="13" t="s">
        <v>91</v>
      </c>
      <c r="E17" s="13" t="s">
        <v>92</v>
      </c>
      <c r="F17" s="13" t="s">
        <v>93</v>
      </c>
      <c r="G17" s="13" t="s">
        <v>94</v>
      </c>
      <c r="H17" s="13" t="s">
        <v>96</v>
      </c>
      <c r="I17" s="13" t="s">
        <v>51</v>
      </c>
      <c r="J17" s="13" t="s">
        <v>497</v>
      </c>
      <c r="K17" s="13" t="s">
        <v>456</v>
      </c>
    </row>
    <row r="18" customFormat="false" ht="15" hidden="false" customHeight="false" outlineLevel="0" collapsed="false">
      <c r="A18" s="46" t="n">
        <v>1</v>
      </c>
      <c r="B18" s="38" t="n">
        <f aca="false">MATCH(LARGE(Videos_Data!$Q$2:$Q$145,A18),Videos_Data!$Q$2:$Q$145,0)</f>
        <v>115</v>
      </c>
      <c r="C18" s="17" t="str">
        <f aca="false">INDEX(Videos_Data!$B$2:$B$145,$B18)</f>
        <v>Campus Placement Season Vlog 3</v>
      </c>
      <c r="D18" s="17" t="str">
        <f aca="false">INDEX(Videos_Data!$C$2:$C$145,$B18)</f>
        <v>Campus Vlogs</v>
      </c>
      <c r="E18" s="17" t="str">
        <f aca="false">INDEX(Videos_Data!$D$2:$D$145,$B18)</f>
        <v>Long-form</v>
      </c>
      <c r="F18" s="23" t="n">
        <f aca="false">INDEX(Videos_Data!$E$2:$E$145,$B18)</f>
        <v>46190</v>
      </c>
      <c r="G18" s="24" t="n">
        <f aca="false">INDEX(Videos_Data!$F$2:$F$145,$B18)</f>
        <v>4.2</v>
      </c>
      <c r="H18" s="18" t="n">
        <f aca="false">INDEX(Videos_Data!$H$2:$H$145,$B18)</f>
        <v>20795</v>
      </c>
      <c r="I18" s="19" t="n">
        <f aca="false">INDEX(Videos_Data!$Q$2:$Q$145,$B18)</f>
        <v>0.068189468622265</v>
      </c>
      <c r="J18" s="21" t="n">
        <f aca="false">INDEX(Videos_Data!$P$2:$P$145,$B18)</f>
        <v>0.0685407849806853</v>
      </c>
      <c r="K18" s="18" t="n">
        <f aca="false">INDEX(Videos_Data!$M$2:$M$145,$B18)</f>
        <v>93</v>
      </c>
    </row>
    <row r="19" customFormat="false" ht="15" hidden="false" customHeight="false" outlineLevel="0" collapsed="false">
      <c r="A19" s="46" t="n">
        <v>2</v>
      </c>
      <c r="B19" s="38" t="n">
        <f aca="false">MATCH(LARGE(Videos_Data!$Q$2:$Q$145,A19),Videos_Data!$Q$2:$Q$145,0)</f>
        <v>93</v>
      </c>
      <c r="C19" s="17" t="str">
        <f aca="false">INDEX(Videos_Data!$B$2:$B$145,$B19)</f>
        <v>Campus Placement Season Vlog 1</v>
      </c>
      <c r="D19" s="17" t="str">
        <f aca="false">INDEX(Videos_Data!$C$2:$C$145,$B19)</f>
        <v>Campus Vlogs</v>
      </c>
      <c r="E19" s="17" t="str">
        <f aca="false">INDEX(Videos_Data!$D$2:$D$145,$B19)</f>
        <v>Long-form</v>
      </c>
      <c r="F19" s="23" t="n">
        <f aca="false">INDEX(Videos_Data!$E$2:$E$145,$B19)</f>
        <v>46126</v>
      </c>
      <c r="G19" s="24" t="n">
        <f aca="false">INDEX(Videos_Data!$F$2:$F$145,$B19)</f>
        <v>4</v>
      </c>
      <c r="H19" s="18" t="n">
        <f aca="false">INDEX(Videos_Data!$H$2:$H$145,$B19)</f>
        <v>4744</v>
      </c>
      <c r="I19" s="19" t="n">
        <f aca="false">INDEX(Videos_Data!$Q$2:$Q$145,$B19)</f>
        <v>0.0670320404721754</v>
      </c>
      <c r="J19" s="21" t="n">
        <f aca="false">INDEX(Videos_Data!$P$2:$P$145,$B19)</f>
        <v>0.0447133781975155</v>
      </c>
      <c r="K19" s="18" t="n">
        <f aca="false">INDEX(Videos_Data!$M$2:$M$145,$B19)</f>
        <v>8</v>
      </c>
    </row>
    <row r="20" customFormat="false" ht="15" hidden="false" customHeight="false" outlineLevel="0" collapsed="false">
      <c r="A20" s="46" t="n">
        <v>3</v>
      </c>
      <c r="B20" s="38" t="n">
        <f aca="false">MATCH(LARGE(Videos_Data!$Q$2:$Q$145,A20),Videos_Data!$Q$2:$Q$145,0)</f>
        <v>37</v>
      </c>
      <c r="C20" s="17" t="str">
        <f aca="false">INDEX(Videos_Data!$B$2:$B$145,$B20)</f>
        <v>Data Analyst Resume Tips for Freshers</v>
      </c>
      <c r="D20" s="17" t="str">
        <f aca="false">INDEX(Videos_Data!$C$2:$C$145,$B20)</f>
        <v>Career Guidance</v>
      </c>
      <c r="E20" s="17" t="str">
        <f aca="false">INDEX(Videos_Data!$D$2:$D$145,$B20)</f>
        <v>Long-form</v>
      </c>
      <c r="F20" s="23" t="n">
        <f aca="false">INDEX(Videos_Data!$E$2:$E$145,$B20)</f>
        <v>45992</v>
      </c>
      <c r="G20" s="24" t="n">
        <f aca="false">INDEX(Videos_Data!$F$2:$F$145,$B20)</f>
        <v>10.3</v>
      </c>
      <c r="H20" s="18" t="n">
        <f aca="false">INDEX(Videos_Data!$H$2:$H$145,$B20)</f>
        <v>25891</v>
      </c>
      <c r="I20" s="19" t="n">
        <f aca="false">INDEX(Videos_Data!$Q$2:$Q$145,$B20)</f>
        <v>0.0668958325286779</v>
      </c>
      <c r="J20" s="21" t="n">
        <f aca="false">INDEX(Videos_Data!$P$2:$P$145,$B20)</f>
        <v>0.0581731330942687</v>
      </c>
      <c r="K20" s="18" t="n">
        <f aca="false">INDEX(Videos_Data!$M$2:$M$145,$B20)</f>
        <v>147</v>
      </c>
    </row>
    <row r="21" customFormat="false" ht="15" hidden="false" customHeight="false" outlineLevel="0" collapsed="false">
      <c r="A21" s="46" t="n">
        <v>4</v>
      </c>
      <c r="B21" s="38" t="n">
        <f aca="false">MATCH(LARGE(Videos_Data!$Q$2:$Q$145,A21),Videos_Data!$Q$2:$Q$145,0)</f>
        <v>1</v>
      </c>
      <c r="C21" s="17" t="str">
        <f aca="false">INDEX(Videos_Data!$B$2:$B$145,$B21)</f>
        <v>Business Analyst Salary and Career Path in India</v>
      </c>
      <c r="D21" s="17" t="str">
        <f aca="false">INDEX(Videos_Data!$C$2:$C$145,$B21)</f>
        <v>Career Guidance</v>
      </c>
      <c r="E21" s="17" t="str">
        <f aca="false">INDEX(Videos_Data!$D$2:$D$145,$B21)</f>
        <v>Long-form</v>
      </c>
      <c r="F21" s="23" t="n">
        <f aca="false">INDEX(Videos_Data!$E$2:$E$145,$B21)</f>
        <v>45901</v>
      </c>
      <c r="G21" s="24" t="n">
        <f aca="false">INDEX(Videos_Data!$F$2:$F$145,$B21)</f>
        <v>13.9</v>
      </c>
      <c r="H21" s="18" t="n">
        <f aca="false">INDEX(Videos_Data!$H$2:$H$145,$B21)</f>
        <v>46459</v>
      </c>
      <c r="I21" s="19" t="n">
        <f aca="false">INDEX(Videos_Data!$Q$2:$Q$145,$B21)</f>
        <v>0.0637336145849028</v>
      </c>
      <c r="J21" s="21" t="n">
        <f aca="false">INDEX(Videos_Data!$P$2:$P$145,$B21)</f>
        <v>0.0677325861108762</v>
      </c>
      <c r="K21" s="18" t="n">
        <f aca="false">INDEX(Videos_Data!$M$2:$M$145,$B21)</f>
        <v>307</v>
      </c>
    </row>
    <row r="22" customFormat="false" ht="15" hidden="false" customHeight="false" outlineLevel="0" collapsed="false">
      <c r="A22" s="46" t="n">
        <v>5</v>
      </c>
      <c r="B22" s="38" t="n">
        <f aca="false">MATCH(LARGE(Videos_Data!$Q$2:$Q$145,A22),Videos_Data!$Q$2:$Q$145,0)</f>
        <v>75</v>
      </c>
      <c r="C22" s="17" t="str">
        <f aca="false">INDEX(Videos_Data!$B$2:$B$145,$B22)</f>
        <v>Exam Week Vlog: Semester 5</v>
      </c>
      <c r="D22" s="17" t="str">
        <f aca="false">INDEX(Videos_Data!$C$2:$C$145,$B22)</f>
        <v>Campus Vlogs</v>
      </c>
      <c r="E22" s="17" t="str">
        <f aca="false">INDEX(Videos_Data!$D$2:$D$145,$B22)</f>
        <v>Long-form</v>
      </c>
      <c r="F22" s="23" t="n">
        <f aca="false">INDEX(Videos_Data!$E$2:$E$145,$B22)</f>
        <v>46088</v>
      </c>
      <c r="G22" s="24" t="n">
        <f aca="false">INDEX(Videos_Data!$F$2:$F$145,$B22)</f>
        <v>4</v>
      </c>
      <c r="H22" s="18" t="n">
        <f aca="false">INDEX(Videos_Data!$H$2:$H$145,$B22)</f>
        <v>12205</v>
      </c>
      <c r="I22" s="19" t="n">
        <f aca="false">INDEX(Videos_Data!$Q$2:$Q$145,$B22)</f>
        <v>0.0622695616550594</v>
      </c>
      <c r="J22" s="21" t="n">
        <f aca="false">INDEX(Videos_Data!$P$2:$P$145,$B22)</f>
        <v>0.062501920378545</v>
      </c>
      <c r="K22" s="18" t="n">
        <f aca="false">INDEX(Videos_Data!$M$2:$M$145,$B22)</f>
        <v>43</v>
      </c>
    </row>
    <row r="23" customFormat="false" ht="15" hidden="false" customHeight="false" outlineLevel="0" collapsed="false">
      <c r="A23" s="46" t="n">
        <v>6</v>
      </c>
      <c r="B23" s="38" t="n">
        <f aca="false">MATCH(LARGE(Videos_Data!$Q$2:$Q$145,A23),Videos_Data!$Q$2:$Q$145,0)</f>
        <v>137</v>
      </c>
      <c r="C23" s="17" t="str">
        <f aca="false">INDEX(Videos_Data!$B$2:$B$145,$B23)</f>
        <v>Data Analyst Interview Questions and Answers</v>
      </c>
      <c r="D23" s="17" t="str">
        <f aca="false">INDEX(Videos_Data!$C$2:$C$145,$B23)</f>
        <v>Career Guidance</v>
      </c>
      <c r="E23" s="17" t="str">
        <f aca="false">INDEX(Videos_Data!$D$2:$D$145,$B23)</f>
        <v>Long-form</v>
      </c>
      <c r="F23" s="23" t="n">
        <f aca="false">INDEX(Videos_Data!$E$2:$E$145,$B23)</f>
        <v>46252</v>
      </c>
      <c r="G23" s="24" t="n">
        <f aca="false">INDEX(Videos_Data!$F$2:$F$145,$B23)</f>
        <v>14.1</v>
      </c>
      <c r="H23" s="18" t="n">
        <f aca="false">INDEX(Videos_Data!$H$2:$H$145,$B23)</f>
        <v>53586</v>
      </c>
      <c r="I23" s="19" t="n">
        <f aca="false">INDEX(Videos_Data!$Q$2:$Q$145,$B23)</f>
        <v>0.0613779718583212</v>
      </c>
      <c r="J23" s="21" t="n">
        <f aca="false">INDEX(Videos_Data!$P$2:$P$145,$B23)</f>
        <v>0.0514544480356742</v>
      </c>
      <c r="K23" s="18" t="n">
        <f aca="false">INDEX(Videos_Data!$M$2:$M$145,$B23)</f>
        <v>234</v>
      </c>
    </row>
    <row r="24" customFormat="false" ht="15" hidden="false" customHeight="false" outlineLevel="0" collapsed="false">
      <c r="A24" s="46" t="n">
        <v>7</v>
      </c>
      <c r="B24" s="38" t="n">
        <f aca="false">MATCH(LARGE(Videos_Data!$Q$2:$Q$145,A24),Videos_Data!$Q$2:$Q$145,0)</f>
        <v>118</v>
      </c>
      <c r="C24" s="17" t="str">
        <f aca="false">INDEX(Videos_Data!$B$2:$B$145,$B24)</f>
        <v>A Day in My BBA Life: Semester 6</v>
      </c>
      <c r="D24" s="17" t="str">
        <f aca="false">INDEX(Videos_Data!$C$2:$C$145,$B24)</f>
        <v>Campus Vlogs</v>
      </c>
      <c r="E24" s="17" t="str">
        <f aca="false">INDEX(Videos_Data!$D$2:$D$145,$B24)</f>
        <v>Long-form</v>
      </c>
      <c r="F24" s="23" t="n">
        <f aca="false">INDEX(Videos_Data!$E$2:$E$145,$B24)</f>
        <v>46195</v>
      </c>
      <c r="G24" s="24" t="n">
        <f aca="false">INDEX(Videos_Data!$F$2:$F$145,$B24)</f>
        <v>10.4</v>
      </c>
      <c r="H24" s="18" t="n">
        <f aca="false">INDEX(Videos_Data!$H$2:$H$145,$B24)</f>
        <v>7320</v>
      </c>
      <c r="I24" s="19" t="n">
        <f aca="false">INDEX(Videos_Data!$Q$2:$Q$145,$B24)</f>
        <v>0.0602459016393443</v>
      </c>
      <c r="J24" s="21" t="n">
        <f aca="false">INDEX(Videos_Data!$P$2:$P$145,$B24)</f>
        <v>0.0474560448109538</v>
      </c>
      <c r="K24" s="18" t="n">
        <f aca="false">INDEX(Videos_Data!$M$2:$M$145,$B24)</f>
        <v>22</v>
      </c>
    </row>
    <row r="25" customFormat="false" ht="15" hidden="false" customHeight="false" outlineLevel="0" collapsed="false">
      <c r="A25" s="46" t="n">
        <v>8</v>
      </c>
      <c r="B25" s="38" t="n">
        <f aca="false">MATCH(LARGE(Videos_Data!$Q$2:$Q$145,A25),Videos_Data!$Q$2:$Q$145,0)</f>
        <v>105</v>
      </c>
      <c r="C25" s="17" t="str">
        <f aca="false">INDEX(Videos_Data!$B$2:$B$145,$B25)</f>
        <v>Credit Score Explained for Beginners</v>
      </c>
      <c r="D25" s="17" t="str">
        <f aca="false">INDEX(Videos_Data!$C$2:$C$145,$B25)</f>
        <v>Finance &amp; Investing</v>
      </c>
      <c r="E25" s="17" t="str">
        <f aca="false">INDEX(Videos_Data!$D$2:$D$145,$B25)</f>
        <v>Long-form</v>
      </c>
      <c r="F25" s="23" t="n">
        <f aca="false">INDEX(Videos_Data!$E$2:$E$145,$B25)</f>
        <v>46164</v>
      </c>
      <c r="G25" s="24" t="n">
        <f aca="false">INDEX(Videos_Data!$F$2:$F$145,$B25)</f>
        <v>13.5</v>
      </c>
      <c r="H25" s="18" t="n">
        <f aca="false">INDEX(Videos_Data!$H$2:$H$145,$B25)</f>
        <v>73694</v>
      </c>
      <c r="I25" s="19" t="n">
        <f aca="false">INDEX(Videos_Data!$Q$2:$Q$145,$B25)</f>
        <v>0.0600184546910196</v>
      </c>
      <c r="J25" s="21" t="n">
        <f aca="false">INDEX(Videos_Data!$P$2:$P$145,$B25)</f>
        <v>0.064385695601234</v>
      </c>
      <c r="K25" s="18" t="n">
        <f aca="false">INDEX(Videos_Data!$M$2:$M$145,$B25)</f>
        <v>218</v>
      </c>
    </row>
    <row r="26" customFormat="false" ht="15" hidden="false" customHeight="false" outlineLevel="0" collapsed="false">
      <c r="A26" s="46" t="n">
        <v>9</v>
      </c>
      <c r="B26" s="38" t="n">
        <f aca="false">MATCH(LARGE(Videos_Data!$Q$2:$Q$145,A26),Videos_Data!$Q$2:$Q$145,0)</f>
        <v>48</v>
      </c>
      <c r="C26" s="17" t="str">
        <f aca="false">INDEX(Videos_Data!$B$2:$B$145,$B26)</f>
        <v>Operations Executive Resume Tips for Freshers</v>
      </c>
      <c r="D26" s="17" t="str">
        <f aca="false">INDEX(Videos_Data!$C$2:$C$145,$B26)</f>
        <v>Career Guidance</v>
      </c>
      <c r="E26" s="17" t="str">
        <f aca="false">INDEX(Videos_Data!$D$2:$D$145,$B26)</f>
        <v>Long-form</v>
      </c>
      <c r="F26" s="23" t="n">
        <f aca="false">INDEX(Videos_Data!$E$2:$E$145,$B26)</f>
        <v>46016</v>
      </c>
      <c r="G26" s="24" t="n">
        <f aca="false">INDEX(Videos_Data!$F$2:$F$145,$B26)</f>
        <v>5.9</v>
      </c>
      <c r="H26" s="18" t="n">
        <f aca="false">INDEX(Videos_Data!$H$2:$H$145,$B26)</f>
        <v>43533</v>
      </c>
      <c r="I26" s="19" t="n">
        <f aca="false">INDEX(Videos_Data!$Q$2:$Q$145,$B26)</f>
        <v>0.0595180667539568</v>
      </c>
      <c r="J26" s="21" t="n">
        <f aca="false">INDEX(Videos_Data!$P$2:$P$145,$B26)</f>
        <v>0.0515444509171509</v>
      </c>
      <c r="K26" s="18" t="n">
        <f aca="false">INDEX(Videos_Data!$M$2:$M$145,$B26)</f>
        <v>243</v>
      </c>
    </row>
    <row r="27" customFormat="false" ht="15" hidden="false" customHeight="false" outlineLevel="0" collapsed="false">
      <c r="A27" s="46" t="n">
        <v>10</v>
      </c>
      <c r="B27" s="38" t="n">
        <f aca="false">MATCH(LARGE(Videos_Data!$Q$2:$Q$145,A27),Videos_Data!$Q$2:$Q$145,0)</f>
        <v>57</v>
      </c>
      <c r="C27" s="17" t="str">
        <f aca="false">INDEX(Videos_Data!$B$2:$B$145,$B27)</f>
        <v>Management Trainee Salary and Career Path in India</v>
      </c>
      <c r="D27" s="17" t="str">
        <f aca="false">INDEX(Videos_Data!$C$2:$C$145,$B27)</f>
        <v>Career Guidance</v>
      </c>
      <c r="E27" s="17" t="str">
        <f aca="false">INDEX(Videos_Data!$D$2:$D$145,$B27)</f>
        <v>Long-form</v>
      </c>
      <c r="F27" s="23" t="n">
        <f aca="false">INDEX(Videos_Data!$E$2:$E$145,$B27)</f>
        <v>46043</v>
      </c>
      <c r="G27" s="24" t="n">
        <f aca="false">INDEX(Videos_Data!$F$2:$F$145,$B27)</f>
        <v>9.7</v>
      </c>
      <c r="H27" s="18" t="n">
        <f aca="false">INDEX(Videos_Data!$H$2:$H$145,$B27)</f>
        <v>112573</v>
      </c>
      <c r="I27" s="19" t="n">
        <f aca="false">INDEX(Videos_Data!$Q$2:$Q$145,$B27)</f>
        <v>0.0593303900580068</v>
      </c>
      <c r="J27" s="21" t="n">
        <f aca="false">INDEX(Videos_Data!$P$2:$P$145,$B27)</f>
        <v>0.072423181491246</v>
      </c>
      <c r="K27" s="18" t="n">
        <f aca="false">INDEX(Videos_Data!$M$2:$M$145,$B27)</f>
        <v>609</v>
      </c>
    </row>
    <row r="29" customFormat="false" ht="15" hidden="false" customHeight="false" outlineLevel="0" collapsed="false">
      <c r="A29" s="3" t="s">
        <v>499</v>
      </c>
    </row>
    <row r="30" customFormat="false" ht="30" hidden="false" customHeight="true" outlineLevel="0" collapsed="false">
      <c r="A30" s="13" t="s">
        <v>495</v>
      </c>
      <c r="B30" s="13" t="s">
        <v>496</v>
      </c>
      <c r="C30" s="13" t="s">
        <v>90</v>
      </c>
      <c r="D30" s="13" t="s">
        <v>91</v>
      </c>
      <c r="E30" s="13" t="s">
        <v>92</v>
      </c>
      <c r="F30" s="13" t="s">
        <v>93</v>
      </c>
      <c r="G30" s="13" t="s">
        <v>94</v>
      </c>
      <c r="H30" s="13" t="s">
        <v>96</v>
      </c>
      <c r="I30" s="13" t="s">
        <v>51</v>
      </c>
      <c r="J30" s="13" t="s">
        <v>497</v>
      </c>
      <c r="K30" s="13" t="s">
        <v>456</v>
      </c>
    </row>
    <row r="31" customFormat="false" ht="15" hidden="false" customHeight="false" outlineLevel="0" collapsed="false">
      <c r="A31" s="46" t="n">
        <v>1</v>
      </c>
      <c r="B31" s="38" t="n">
        <f aca="false">MATCH(SMALL(Videos_Data!$H$2:$H$145,A31),Videos_Data!$H$2:$H$145,0)</f>
        <v>43</v>
      </c>
      <c r="C31" s="17" t="str">
        <f aca="false">INDEX(Videos_Data!$B$2:$B$145,$B31)</f>
        <v>Alumni Talk: Careers in Fintech</v>
      </c>
      <c r="D31" s="17" t="str">
        <f aca="false">INDEX(Videos_Data!$C$2:$C$145,$B31)</f>
        <v>Interviews &amp; Podcasts</v>
      </c>
      <c r="E31" s="17" t="str">
        <f aca="false">INDEX(Videos_Data!$D$2:$D$145,$B31)</f>
        <v>Long-form</v>
      </c>
      <c r="F31" s="23" t="n">
        <f aca="false">INDEX(Videos_Data!$E$2:$E$145,$B31)</f>
        <v>46011</v>
      </c>
      <c r="G31" s="24" t="n">
        <f aca="false">INDEX(Videos_Data!$F$2:$F$145,$B31)</f>
        <v>25.7</v>
      </c>
      <c r="H31" s="18" t="n">
        <f aca="false">INDEX(Videos_Data!$H$2:$H$145,$B31)</f>
        <v>4577</v>
      </c>
      <c r="I31" s="19" t="n">
        <f aca="false">INDEX(Videos_Data!$Q$2:$Q$145,$B31)</f>
        <v>0.0469740004369674</v>
      </c>
      <c r="J31" s="21" t="n">
        <f aca="false">INDEX(Videos_Data!$P$2:$P$145,$B31)</f>
        <v>0.0467603849533111</v>
      </c>
      <c r="K31" s="18" t="n">
        <f aca="false">INDEX(Videos_Data!$M$2:$M$145,$B31)</f>
        <v>11</v>
      </c>
    </row>
    <row r="32" customFormat="false" ht="15" hidden="false" customHeight="false" outlineLevel="0" collapsed="false">
      <c r="A32" s="46" t="n">
        <v>2</v>
      </c>
      <c r="B32" s="38" t="n">
        <f aca="false">MATCH(SMALL(Videos_Data!$H$2:$H$145,A32),Videos_Data!$H$2:$H$145,0)</f>
        <v>62</v>
      </c>
      <c r="C32" s="17" t="str">
        <f aca="false">INDEX(Videos_Data!$B$2:$B$145,$B32)</f>
        <v>Interview with a MBA Topper</v>
      </c>
      <c r="D32" s="17" t="str">
        <f aca="false">INDEX(Videos_Data!$C$2:$C$145,$B32)</f>
        <v>Interviews &amp; Podcasts</v>
      </c>
      <c r="E32" s="17" t="str">
        <f aca="false">INDEX(Videos_Data!$D$2:$D$145,$B32)</f>
        <v>Long-form</v>
      </c>
      <c r="F32" s="23" t="n">
        <f aca="false">INDEX(Videos_Data!$E$2:$E$145,$B32)</f>
        <v>46063</v>
      </c>
      <c r="G32" s="24" t="n">
        <f aca="false">INDEX(Videos_Data!$F$2:$F$145,$B32)</f>
        <v>24.2</v>
      </c>
      <c r="H32" s="18" t="n">
        <f aca="false">INDEX(Videos_Data!$H$2:$H$145,$B32)</f>
        <v>4621</v>
      </c>
      <c r="I32" s="19" t="n">
        <f aca="false">INDEX(Videos_Data!$Q$2:$Q$145,$B32)</f>
        <v>0.0313784895044363</v>
      </c>
      <c r="J32" s="21" t="n">
        <f aca="false">INDEX(Videos_Data!$P$2:$P$145,$B32)</f>
        <v>0.0408345410201124</v>
      </c>
      <c r="K32" s="18" t="n">
        <f aca="false">INDEX(Videos_Data!$M$2:$M$145,$B32)</f>
        <v>9</v>
      </c>
    </row>
    <row r="33" customFormat="false" ht="15" hidden="false" customHeight="false" outlineLevel="0" collapsed="false">
      <c r="A33" s="46" t="n">
        <v>3</v>
      </c>
      <c r="B33" s="38" t="n">
        <f aca="false">MATCH(SMALL(Videos_Data!$H$2:$H$145,A33),Videos_Data!$H$2:$H$145,0)</f>
        <v>93</v>
      </c>
      <c r="C33" s="17" t="str">
        <f aca="false">INDEX(Videos_Data!$B$2:$B$145,$B33)</f>
        <v>Campus Placement Season Vlog 1</v>
      </c>
      <c r="D33" s="17" t="str">
        <f aca="false">INDEX(Videos_Data!$C$2:$C$145,$B33)</f>
        <v>Campus Vlogs</v>
      </c>
      <c r="E33" s="17" t="str">
        <f aca="false">INDEX(Videos_Data!$D$2:$D$145,$B33)</f>
        <v>Long-form</v>
      </c>
      <c r="F33" s="23" t="n">
        <f aca="false">INDEX(Videos_Data!$E$2:$E$145,$B33)</f>
        <v>46126</v>
      </c>
      <c r="G33" s="24" t="n">
        <f aca="false">INDEX(Videos_Data!$F$2:$F$145,$B33)</f>
        <v>4</v>
      </c>
      <c r="H33" s="18" t="n">
        <f aca="false">INDEX(Videos_Data!$H$2:$H$145,$B33)</f>
        <v>4744</v>
      </c>
      <c r="I33" s="19" t="n">
        <f aca="false">INDEX(Videos_Data!$Q$2:$Q$145,$B33)</f>
        <v>0.0670320404721754</v>
      </c>
      <c r="J33" s="21" t="n">
        <f aca="false">INDEX(Videos_Data!$P$2:$P$145,$B33)</f>
        <v>0.0447133781975155</v>
      </c>
      <c r="K33" s="18" t="n">
        <f aca="false">INDEX(Videos_Data!$M$2:$M$145,$B33)</f>
        <v>8</v>
      </c>
    </row>
    <row r="34" customFormat="false" ht="15" hidden="false" customHeight="false" outlineLevel="0" collapsed="false">
      <c r="A34" s="46" t="n">
        <v>4</v>
      </c>
      <c r="B34" s="38" t="n">
        <f aca="false">MATCH(SMALL(Videos_Data!$H$2:$H$145,A34),Videos_Data!$H$2:$H$145,0)</f>
        <v>56</v>
      </c>
      <c r="C34" s="17" t="str">
        <f aca="false">INDEX(Videos_Data!$B$2:$B$145,$B34)</f>
        <v>Interview with a Data Analyst</v>
      </c>
      <c r="D34" s="17" t="str">
        <f aca="false">INDEX(Videos_Data!$C$2:$C$145,$B34)</f>
        <v>Interviews &amp; Podcasts</v>
      </c>
      <c r="E34" s="17" t="str">
        <f aca="false">INDEX(Videos_Data!$D$2:$D$145,$B34)</f>
        <v>Long-form</v>
      </c>
      <c r="F34" s="23" t="n">
        <f aca="false">INDEX(Videos_Data!$E$2:$E$145,$B34)</f>
        <v>46043</v>
      </c>
      <c r="G34" s="24" t="n">
        <f aca="false">INDEX(Videos_Data!$F$2:$F$145,$B34)</f>
        <v>20.7</v>
      </c>
      <c r="H34" s="18" t="n">
        <f aca="false">INDEX(Videos_Data!$H$2:$H$145,$B34)</f>
        <v>5690</v>
      </c>
      <c r="I34" s="19" t="n">
        <f aca="false">INDEX(Videos_Data!$Q$2:$Q$145,$B34)</f>
        <v>0.0384885764499121</v>
      </c>
      <c r="J34" s="21" t="n">
        <f aca="false">INDEX(Videos_Data!$P$2:$P$145,$B34)</f>
        <v>0.0539853319291454</v>
      </c>
      <c r="K34" s="18" t="n">
        <f aca="false">INDEX(Videos_Data!$M$2:$M$145,$B34)</f>
        <v>11</v>
      </c>
    </row>
    <row r="35" customFormat="false" ht="15" hidden="false" customHeight="false" outlineLevel="0" collapsed="false">
      <c r="A35" s="46" t="n">
        <v>5</v>
      </c>
      <c r="B35" s="38" t="n">
        <f aca="false">MATCH(SMALL(Videos_Data!$H$2:$H$145,A35),Videos_Data!$H$2:$H$145,0)</f>
        <v>69</v>
      </c>
      <c r="C35" s="17" t="str">
        <f aca="false">INDEX(Videos_Data!$B$2:$B$145,$B35)</f>
        <v>Interview with a Chartered Accountant</v>
      </c>
      <c r="D35" s="17" t="str">
        <f aca="false">INDEX(Videos_Data!$C$2:$C$145,$B35)</f>
        <v>Interviews &amp; Podcasts</v>
      </c>
      <c r="E35" s="17" t="str">
        <f aca="false">INDEX(Videos_Data!$D$2:$D$145,$B35)</f>
        <v>Long-form</v>
      </c>
      <c r="F35" s="23" t="n">
        <f aca="false">INDEX(Videos_Data!$E$2:$E$145,$B35)</f>
        <v>46075</v>
      </c>
      <c r="G35" s="24" t="n">
        <f aca="false">INDEX(Videos_Data!$F$2:$F$145,$B35)</f>
        <v>24.3</v>
      </c>
      <c r="H35" s="18" t="n">
        <f aca="false">INDEX(Videos_Data!$H$2:$H$145,$B35)</f>
        <v>5849</v>
      </c>
      <c r="I35" s="19" t="n">
        <f aca="false">INDEX(Videos_Data!$Q$2:$Q$145,$B35)</f>
        <v>0.0367584202427765</v>
      </c>
      <c r="J35" s="21" t="n">
        <f aca="false">INDEX(Videos_Data!$P$2:$P$145,$B35)</f>
        <v>0.0523967786148761</v>
      </c>
      <c r="K35" s="18" t="n">
        <f aca="false">INDEX(Videos_Data!$M$2:$M$145,$B35)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2" t="s">
        <v>500</v>
      </c>
    </row>
    <row r="2" customFormat="false" ht="15" hidden="false" customHeight="false" outlineLevel="0" collapsed="false">
      <c r="A2" s="6" t="s">
        <v>501</v>
      </c>
    </row>
    <row r="3" customFormat="false" ht="15" hidden="false" customHeight="false" outlineLevel="0" collapsed="false">
      <c r="A3" s="3" t="s">
        <v>502</v>
      </c>
    </row>
    <row r="4" customFormat="false" ht="30" hidden="false" customHeight="true" outlineLevel="0" collapsed="false">
      <c r="A4" s="13" t="s">
        <v>503</v>
      </c>
      <c r="B4" s="13" t="s">
        <v>504</v>
      </c>
      <c r="C4" s="13" t="s">
        <v>505</v>
      </c>
      <c r="D4" s="13" t="s">
        <v>506</v>
      </c>
      <c r="E4" s="13" t="s">
        <v>507</v>
      </c>
      <c r="F4" s="13" t="s">
        <v>508</v>
      </c>
      <c r="G4" s="13" t="s">
        <v>509</v>
      </c>
      <c r="H4" s="13" t="s">
        <v>510</v>
      </c>
    </row>
    <row r="5" customFormat="false" ht="15" hidden="false" customHeight="false" outlineLevel="0" collapsed="false">
      <c r="A5" s="30" t="s">
        <v>96</v>
      </c>
      <c r="B5" s="18" t="n">
        <f aca="false">AVERAGE(Videos_Data!$H$2:$H$145)</f>
        <v>40267.2083333333</v>
      </c>
      <c r="C5" s="18" t="n">
        <f aca="false">MEDIAN(Videos_Data!$H$2:$H$145)</f>
        <v>33908</v>
      </c>
      <c r="D5" s="18" t="n">
        <f aca="false">STDEV(Videos_Data!$H$2:$H$145)</f>
        <v>28406.1242345066</v>
      </c>
      <c r="E5" s="18" t="n">
        <f aca="false">MIN(Videos_Data!$H$2:$H$145)</f>
        <v>4577</v>
      </c>
      <c r="F5" s="18" t="n">
        <f aca="false">MAX(Videos_Data!$H$2:$H$145)</f>
        <v>237418</v>
      </c>
      <c r="G5" s="27" t="n">
        <f aca="false">IFERROR(D5/B5,0)</f>
        <v>0.705440615583771</v>
      </c>
      <c r="H5" s="27" t="n">
        <f aca="false">SKEW(Videos_Data!$H$2:$H$145)</f>
        <v>2.72647910226231</v>
      </c>
    </row>
    <row r="6" customFormat="false" ht="15" hidden="false" customHeight="false" outlineLevel="0" collapsed="false">
      <c r="A6" s="30" t="s">
        <v>95</v>
      </c>
      <c r="B6" s="18" t="n">
        <f aca="false">AVERAGE(Videos_Data!$G$2:$G$145)</f>
        <v>633898.3125</v>
      </c>
      <c r="C6" s="18" t="n">
        <f aca="false">MEDIAN(Videos_Data!$G$2:$G$145)</f>
        <v>589583</v>
      </c>
      <c r="D6" s="18" t="n">
        <f aca="false">STDEV(Videos_Data!$G$2:$G$145)</f>
        <v>380575.468495624</v>
      </c>
      <c r="E6" s="18" t="n">
        <f aca="false">MIN(Videos_Data!$G$2:$G$145)</f>
        <v>97882</v>
      </c>
      <c r="F6" s="18" t="n">
        <f aca="false">MAX(Videos_Data!$G$2:$G$145)</f>
        <v>2866596</v>
      </c>
      <c r="G6" s="27" t="n">
        <f aca="false">IFERROR(D6/B6,0)</f>
        <v>0.600373058250765</v>
      </c>
      <c r="H6" s="27" t="n">
        <f aca="false">SKEW(Videos_Data!$G$2:$G$145)</f>
        <v>2.05601598710594</v>
      </c>
    </row>
    <row r="7" customFormat="false" ht="15" hidden="false" customHeight="false" outlineLevel="0" collapsed="false">
      <c r="A7" s="30" t="s">
        <v>100</v>
      </c>
      <c r="B7" s="25" t="n">
        <f aca="false">AVERAGE(Videos_Data!$L$2:$L$145)</f>
        <v>2322.05416666667</v>
      </c>
      <c r="C7" s="25" t="n">
        <f aca="false">MEDIAN(Videos_Data!$L$2:$L$145)</f>
        <v>1948.95</v>
      </c>
      <c r="D7" s="25" t="n">
        <f aca="false">STDEV(Videos_Data!$L$2:$L$145)</f>
        <v>1885.74312116033</v>
      </c>
      <c r="E7" s="25" t="n">
        <f aca="false">MIN(Videos_Data!$L$2:$L$145)</f>
        <v>135.4</v>
      </c>
      <c r="F7" s="25" t="n">
        <f aca="false">MAX(Videos_Data!$L$2:$L$145)</f>
        <v>9298.6</v>
      </c>
      <c r="G7" s="27" t="n">
        <f aca="false">IFERROR(D7/B7,0)</f>
        <v>0.812101262851819</v>
      </c>
      <c r="H7" s="27" t="n">
        <f aca="false">SKEW(Videos_Data!$L$2:$L$145)</f>
        <v>1.22991900257419</v>
      </c>
    </row>
    <row r="8" customFormat="false" ht="15" hidden="false" customHeight="false" outlineLevel="0" collapsed="false">
      <c r="A8" s="30" t="s">
        <v>51</v>
      </c>
      <c r="B8" s="19" t="n">
        <f aca="false">AVERAGE(Videos_Data!$Q$2:$Q$145)</f>
        <v>0.046589398337244</v>
      </c>
      <c r="C8" s="19" t="n">
        <f aca="false">MEDIAN(Videos_Data!$Q$2:$Q$145)</f>
        <v>0.0462090466407117</v>
      </c>
      <c r="D8" s="19" t="n">
        <f aca="false">STDEV(Videos_Data!$Q$2:$Q$145)</f>
        <v>0.00819330360356101</v>
      </c>
      <c r="E8" s="19" t="n">
        <f aca="false">MIN(Videos_Data!$Q$2:$Q$145)</f>
        <v>0.0192585573848158</v>
      </c>
      <c r="F8" s="19" t="n">
        <f aca="false">MAX(Videos_Data!$Q$2:$Q$145)</f>
        <v>0.068189468622265</v>
      </c>
      <c r="G8" s="27" t="n">
        <f aca="false">IFERROR(D8/B8,0)</f>
        <v>0.175861974955174</v>
      </c>
      <c r="H8" s="27" t="n">
        <f aca="false">SKEW(Videos_Data!$Q$2:$Q$145)</f>
        <v>0.105013429293457</v>
      </c>
    </row>
    <row r="9" customFormat="false" ht="15" hidden="false" customHeight="false" outlineLevel="0" collapsed="false">
      <c r="A9" s="30" t="s">
        <v>497</v>
      </c>
      <c r="B9" s="21" t="n">
        <f aca="false">AVERAGE(Videos_Data!$P$2:$P$145)</f>
        <v>0.0623190763147306</v>
      </c>
      <c r="C9" s="21" t="n">
        <f aca="false">MEDIAN(Videos_Data!$P$2:$P$145)</f>
        <v>0.0602819218846022</v>
      </c>
      <c r="D9" s="21" t="n">
        <f aca="false">STDEV(Videos_Data!$P$2:$P$145)</f>
        <v>0.016793758470493</v>
      </c>
      <c r="E9" s="21" t="n">
        <f aca="false">MIN(Videos_Data!$P$2:$P$145)</f>
        <v>0.0305330860492831</v>
      </c>
      <c r="F9" s="21" t="n">
        <f aca="false">MAX(Videos_Data!$P$2:$P$145)</f>
        <v>0.105433906195328</v>
      </c>
      <c r="G9" s="27" t="n">
        <f aca="false">IFERROR(D9/B9,0)</f>
        <v>0.269480221203525</v>
      </c>
      <c r="H9" s="27" t="n">
        <f aca="false">SKEW(Videos_Data!$P$2:$P$145)</f>
        <v>0.582356647881376</v>
      </c>
    </row>
    <row r="10" customFormat="false" ht="15" hidden="false" customHeight="false" outlineLevel="0" collapsed="false">
      <c r="A10" s="30" t="s">
        <v>105</v>
      </c>
      <c r="B10" s="21" t="n">
        <f aca="false">AVERAGE(Videos_Data!$S$2:$S$145)</f>
        <v>0.528086367056876</v>
      </c>
      <c r="C10" s="21" t="n">
        <f aca="false">MEDIAN(Videos_Data!$S$2:$S$145)</f>
        <v>0.461887601721299</v>
      </c>
      <c r="D10" s="21" t="n">
        <f aca="false">STDEV(Videos_Data!$S$2:$S$145)</f>
        <v>0.1844152840283</v>
      </c>
      <c r="E10" s="21" t="n">
        <f aca="false">MIN(Videos_Data!$S$2:$S$145)</f>
        <v>0.25774528959065</v>
      </c>
      <c r="F10" s="21" t="n">
        <f aca="false">MAX(Videos_Data!$S$2:$S$145)</f>
        <v>0.999923533345156</v>
      </c>
      <c r="G10" s="27" t="n">
        <f aca="false">IFERROR(D10/B10,0)</f>
        <v>0.349214248904172</v>
      </c>
      <c r="H10" s="27" t="n">
        <f aca="false">SKEW(Videos_Data!$S$2:$S$145)</f>
        <v>0.895995172014662</v>
      </c>
    </row>
    <row r="11" customFormat="false" ht="15" hidden="false" customHeight="false" outlineLevel="0" collapsed="false">
      <c r="A11" s="30" t="s">
        <v>106</v>
      </c>
      <c r="B11" s="20" t="n">
        <f aca="false">AVERAGE(Videos_Data!$T$2:$T$145)</f>
        <v>0.00416161485650686</v>
      </c>
      <c r="C11" s="20" t="n">
        <f aca="false">MEDIAN(Videos_Data!$T$2:$T$145)</f>
        <v>0.00424014138724369</v>
      </c>
      <c r="D11" s="20" t="n">
        <f aca="false">STDEV(Videos_Data!$T$2:$T$145)</f>
        <v>0.00176470190042887</v>
      </c>
      <c r="E11" s="20" t="n">
        <f aca="false">MIN(Videos_Data!$T$2:$T$145)</f>
        <v>0.00103744529097098</v>
      </c>
      <c r="F11" s="20" t="n">
        <f aca="false">MAX(Videos_Data!$T$2:$T$145)</f>
        <v>0.00769017980636238</v>
      </c>
      <c r="G11" s="27" t="n">
        <f aca="false">IFERROR(D11/B11,0)</f>
        <v>0.424042579930166</v>
      </c>
      <c r="H11" s="27" t="n">
        <f aca="false">SKEW(Videos_Data!$T$2:$T$145)</f>
        <v>-0.0259529105291498</v>
      </c>
    </row>
    <row r="13" customFormat="false" ht="15" hidden="false" customHeight="false" outlineLevel="0" collapsed="false">
      <c r="A13" s="6" t="s">
        <v>511</v>
      </c>
    </row>
    <row r="15" customFormat="false" ht="15" hidden="false" customHeight="false" outlineLevel="0" collapsed="false">
      <c r="A15" s="3" t="s">
        <v>512</v>
      </c>
    </row>
    <row r="16" customFormat="false" ht="15" hidden="false" customHeight="false" outlineLevel="0" collapsed="false">
      <c r="A16" s="13" t="s">
        <v>513</v>
      </c>
      <c r="B16" s="13" t="s">
        <v>514</v>
      </c>
      <c r="C16" s="13" t="s">
        <v>95</v>
      </c>
      <c r="D16" s="13" t="s">
        <v>497</v>
      </c>
      <c r="E16" s="13" t="s">
        <v>96</v>
      </c>
      <c r="F16" s="13" t="s">
        <v>515</v>
      </c>
      <c r="G16" s="13" t="s">
        <v>105</v>
      </c>
      <c r="H16" s="13" t="s">
        <v>516</v>
      </c>
    </row>
    <row r="17" customFormat="false" ht="15" hidden="false" customHeight="false" outlineLevel="0" collapsed="false">
      <c r="A17" s="30" t="s">
        <v>514</v>
      </c>
      <c r="B17" s="47" t="n">
        <f aca="false">CORREL(Videos_Data!$F$2:$F$145,Videos_Data!$F$2:$F$145)</f>
        <v>1</v>
      </c>
      <c r="C17" s="47" t="n">
        <f aca="false">CORREL(Videos_Data!$F$2:$F$145,Videos_Data!$G$2:$G$145)</f>
        <v>-0.30113430858925</v>
      </c>
      <c r="D17" s="47" t="n">
        <f aca="false">CORREL(Videos_Data!$F$2:$F$145,Videos_Data!$P$2:$P$145)</f>
        <v>-0.626602525126994</v>
      </c>
      <c r="E17" s="47" t="n">
        <f aca="false">CORREL(Videos_Data!$F$2:$F$145,Videos_Data!$H$2:$H$145)</f>
        <v>-0.469402168219036</v>
      </c>
      <c r="F17" s="47" t="n">
        <f aca="false">CORREL(Videos_Data!$F$2:$F$145,Videos_Data!$Q$2:$Q$145)</f>
        <v>0.151189137403867</v>
      </c>
      <c r="G17" s="47" t="n">
        <f aca="false">CORREL(Videos_Data!$F$2:$F$145,Videos_Data!$S$2:$S$145)</f>
        <v>-0.867773608857322</v>
      </c>
      <c r="H17" s="47" t="n">
        <f aca="false">CORREL(Videos_Data!$F$2:$F$145,Videos_Data!$T$2:$T$145)</f>
        <v>0.588489293144468</v>
      </c>
    </row>
    <row r="18" customFormat="false" ht="15" hidden="false" customHeight="false" outlineLevel="0" collapsed="false">
      <c r="A18" s="30" t="s">
        <v>95</v>
      </c>
      <c r="B18" s="47" t="n">
        <f aca="false">CORREL(Videos_Data!$G$2:$G$145,Videos_Data!$F$2:$F$145)</f>
        <v>-0.30113430858925</v>
      </c>
      <c r="C18" s="47" t="n">
        <f aca="false">CORREL(Videos_Data!$G$2:$G$145,Videos_Data!$G$2:$G$145)</f>
        <v>1</v>
      </c>
      <c r="D18" s="47" t="n">
        <f aca="false">CORREL(Videos_Data!$G$2:$G$145,Videos_Data!$P$2:$P$145)</f>
        <v>0.120255557208274</v>
      </c>
      <c r="E18" s="47" t="n">
        <f aca="false">CORREL(Videos_Data!$G$2:$G$145,Videos_Data!$H$2:$H$145)</f>
        <v>0.910528918076692</v>
      </c>
      <c r="F18" s="47" t="n">
        <f aca="false">CORREL(Videos_Data!$G$2:$G$145,Videos_Data!$Q$2:$Q$145)</f>
        <v>0.13195071141478</v>
      </c>
      <c r="G18" s="47" t="n">
        <f aca="false">CORREL(Videos_Data!$G$2:$G$145,Videos_Data!$S$2:$S$145)</f>
        <v>0.189300867869206</v>
      </c>
      <c r="H18" s="47" t="n">
        <f aca="false">CORREL(Videos_Data!$G$2:$G$145,Videos_Data!$T$2:$T$145)</f>
        <v>-0.0796372944461934</v>
      </c>
    </row>
    <row r="19" customFormat="false" ht="15" hidden="false" customHeight="false" outlineLevel="0" collapsed="false">
      <c r="A19" s="30" t="s">
        <v>497</v>
      </c>
      <c r="B19" s="47" t="n">
        <f aca="false">CORREL(Videos_Data!$P$2:$P$145,Videos_Data!$F$2:$F$145)</f>
        <v>-0.626602525126994</v>
      </c>
      <c r="C19" s="47" t="n">
        <f aca="false">CORREL(Videos_Data!$P$2:$P$145,Videos_Data!$G$2:$G$145)</f>
        <v>0.120255557208274</v>
      </c>
      <c r="D19" s="47" t="n">
        <f aca="false">CORREL(Videos_Data!$P$2:$P$145,Videos_Data!$P$2:$P$145)</f>
        <v>1</v>
      </c>
      <c r="E19" s="47" t="n">
        <f aca="false">CORREL(Videos_Data!$P$2:$P$145,Videos_Data!$H$2:$H$145)</f>
        <v>0.469686758694207</v>
      </c>
      <c r="F19" s="47" t="n">
        <f aca="false">CORREL(Videos_Data!$P$2:$P$145,Videos_Data!$Q$2:$Q$145)</f>
        <v>-0.271347796749952</v>
      </c>
      <c r="G19" s="47" t="n">
        <f aca="false">CORREL(Videos_Data!$P$2:$P$145,Videos_Data!$S$2:$S$145)</f>
        <v>0.691758626636141</v>
      </c>
      <c r="H19" s="47" t="n">
        <f aca="false">CORREL(Videos_Data!$P$2:$P$145,Videos_Data!$T$2:$T$145)</f>
        <v>-0.534534738322074</v>
      </c>
    </row>
    <row r="20" customFormat="false" ht="15" hidden="false" customHeight="false" outlineLevel="0" collapsed="false">
      <c r="A20" s="30" t="s">
        <v>96</v>
      </c>
      <c r="B20" s="47" t="n">
        <f aca="false">CORREL(Videos_Data!$H$2:$H$145,Videos_Data!$F$2:$F$145)</f>
        <v>-0.469402168219036</v>
      </c>
      <c r="C20" s="47" t="n">
        <f aca="false">CORREL(Videos_Data!$H$2:$H$145,Videos_Data!$G$2:$G$145)</f>
        <v>0.910528918076692</v>
      </c>
      <c r="D20" s="47" t="n">
        <f aca="false">CORREL(Videos_Data!$H$2:$H$145,Videos_Data!$P$2:$P$145)</f>
        <v>0.469686758694207</v>
      </c>
      <c r="E20" s="47" t="n">
        <f aca="false">CORREL(Videos_Data!$H$2:$H$145,Videos_Data!$H$2:$H$145)</f>
        <v>1</v>
      </c>
      <c r="F20" s="47" t="n">
        <f aca="false">CORREL(Videos_Data!$H$2:$H$145,Videos_Data!$Q$2:$Q$145)</f>
        <v>0.00563066287272871</v>
      </c>
      <c r="G20" s="47" t="n">
        <f aca="false">CORREL(Videos_Data!$H$2:$H$145,Videos_Data!$S$2:$S$145)</f>
        <v>0.420358966896895</v>
      </c>
      <c r="H20" s="47" t="n">
        <f aca="false">CORREL(Videos_Data!$H$2:$H$145,Videos_Data!$T$2:$T$145)</f>
        <v>-0.288494754786176</v>
      </c>
    </row>
    <row r="21" customFormat="false" ht="15" hidden="false" customHeight="false" outlineLevel="0" collapsed="false">
      <c r="A21" s="30" t="s">
        <v>515</v>
      </c>
      <c r="B21" s="47" t="n">
        <f aca="false">CORREL(Videos_Data!$Q$2:$Q$145,Videos_Data!$F$2:$F$145)</f>
        <v>0.151189137403867</v>
      </c>
      <c r="C21" s="47" t="n">
        <f aca="false">CORREL(Videos_Data!$Q$2:$Q$145,Videos_Data!$G$2:$G$145)</f>
        <v>0.13195071141478</v>
      </c>
      <c r="D21" s="47" t="n">
        <f aca="false">CORREL(Videos_Data!$Q$2:$Q$145,Videos_Data!$P$2:$P$145)</f>
        <v>-0.271347796749952</v>
      </c>
      <c r="E21" s="47" t="n">
        <f aca="false">CORREL(Videos_Data!$Q$2:$Q$145,Videos_Data!$H$2:$H$145)</f>
        <v>0.00563066287272871</v>
      </c>
      <c r="F21" s="47" t="n">
        <f aca="false">CORREL(Videos_Data!$Q$2:$Q$145,Videos_Data!$Q$2:$Q$145)</f>
        <v>1</v>
      </c>
      <c r="G21" s="47" t="n">
        <f aca="false">CORREL(Videos_Data!$Q$2:$Q$145,Videos_Data!$S$2:$S$145)</f>
        <v>-0.335483893943603</v>
      </c>
      <c r="H21" s="47" t="n">
        <f aca="false">CORREL(Videos_Data!$Q$2:$Q$145,Videos_Data!$T$2:$T$145)</f>
        <v>0.253842671878186</v>
      </c>
    </row>
    <row r="22" customFormat="false" ht="15" hidden="false" customHeight="false" outlineLevel="0" collapsed="false">
      <c r="A22" s="30" t="s">
        <v>105</v>
      </c>
      <c r="B22" s="47" t="n">
        <f aca="false">CORREL(Videos_Data!$S$2:$S$145,Videos_Data!$F$2:$F$145)</f>
        <v>-0.867773608857322</v>
      </c>
      <c r="C22" s="47" t="n">
        <f aca="false">CORREL(Videos_Data!$S$2:$S$145,Videos_Data!$G$2:$G$145)</f>
        <v>0.189300867869206</v>
      </c>
      <c r="D22" s="47" t="n">
        <f aca="false">CORREL(Videos_Data!$S$2:$S$145,Videos_Data!$P$2:$P$145)</f>
        <v>0.691758626636141</v>
      </c>
      <c r="E22" s="47" t="n">
        <f aca="false">CORREL(Videos_Data!$S$2:$S$145,Videos_Data!$H$2:$H$145)</f>
        <v>0.420358966896895</v>
      </c>
      <c r="F22" s="47" t="n">
        <f aca="false">CORREL(Videos_Data!$S$2:$S$145,Videos_Data!$Q$2:$Q$145)</f>
        <v>-0.335483893943603</v>
      </c>
      <c r="G22" s="47" t="n">
        <f aca="false">CORREL(Videos_Data!$S$2:$S$145,Videos_Data!$S$2:$S$145)</f>
        <v>1</v>
      </c>
      <c r="H22" s="47" t="n">
        <f aca="false">CORREL(Videos_Data!$S$2:$S$145,Videos_Data!$T$2:$T$145)</f>
        <v>-0.651363530047287</v>
      </c>
    </row>
    <row r="23" customFormat="false" ht="15" hidden="false" customHeight="false" outlineLevel="0" collapsed="false">
      <c r="A23" s="30" t="s">
        <v>516</v>
      </c>
      <c r="B23" s="47" t="n">
        <f aca="false">CORREL(Videos_Data!$T$2:$T$145,Videos_Data!$F$2:$F$145)</f>
        <v>0.588489293144468</v>
      </c>
      <c r="C23" s="47" t="n">
        <f aca="false">CORREL(Videos_Data!$T$2:$T$145,Videos_Data!$G$2:$G$145)</f>
        <v>-0.0796372944461934</v>
      </c>
      <c r="D23" s="47" t="n">
        <f aca="false">CORREL(Videos_Data!$T$2:$T$145,Videos_Data!$P$2:$P$145)</f>
        <v>-0.534534738322074</v>
      </c>
      <c r="E23" s="47" t="n">
        <f aca="false">CORREL(Videos_Data!$T$2:$T$145,Videos_Data!$H$2:$H$145)</f>
        <v>-0.288494754786176</v>
      </c>
      <c r="F23" s="47" t="n">
        <f aca="false">CORREL(Videos_Data!$T$2:$T$145,Videos_Data!$Q$2:$Q$145)</f>
        <v>0.253842671878186</v>
      </c>
      <c r="G23" s="47" t="n">
        <f aca="false">CORREL(Videos_Data!$T$2:$T$145,Videos_Data!$S$2:$S$145)</f>
        <v>-0.651363530047287</v>
      </c>
      <c r="H23" s="47" t="n">
        <f aca="false">CORREL(Videos_Data!$T$2:$T$145,Videos_Data!$T$2:$T$145)</f>
        <v>1</v>
      </c>
    </row>
    <row r="24" customFormat="false" ht="15" hidden="false" customHeight="false" outlineLevel="0" collapsed="false">
      <c r="A24" s="6" t="s">
        <v>517</v>
      </c>
    </row>
    <row r="26" customFormat="false" ht="15" hidden="false" customHeight="false" outlineLevel="0" collapsed="false">
      <c r="A26" s="3" t="s">
        <v>518</v>
      </c>
    </row>
    <row r="27" customFormat="false" ht="15" hidden="false" customHeight="false" outlineLevel="0" collapsed="false">
      <c r="A27" s="30" t="s">
        <v>519</v>
      </c>
      <c r="B27" s="48" t="n">
        <f aca="false">SLOPE(Videos_Data!$H$2:$H$145,Videos_Data!$G$2:$G$145)</f>
        <v>0.0679618096989738</v>
      </c>
    </row>
    <row r="28" customFormat="false" ht="15" hidden="false" customHeight="false" outlineLevel="0" collapsed="false">
      <c r="A28" s="30" t="s">
        <v>520</v>
      </c>
      <c r="B28" s="18" t="n">
        <f aca="false">INTERCEPT(Videos_Data!$H$2:$H$145,Videos_Data!$G$2:$G$145)</f>
        <v>-2813.66814929227</v>
      </c>
    </row>
    <row r="29" customFormat="false" ht="15" hidden="false" customHeight="false" outlineLevel="0" collapsed="false">
      <c r="A29" s="30" t="s">
        <v>521</v>
      </c>
      <c r="B29" s="27" t="n">
        <f aca="false">RSQ(Videos_Data!$H$2:$H$145,Videos_Data!$G$2:$G$145)</f>
        <v>0.829062910653911</v>
      </c>
    </row>
    <row r="30" customFormat="false" ht="15" hidden="false" customHeight="false" outlineLevel="0" collapsed="false">
      <c r="A30" s="30" t="s">
        <v>522</v>
      </c>
      <c r="B30" s="43" t="n">
        <v>100000</v>
      </c>
    </row>
    <row r="31" customFormat="false" ht="15" hidden="false" customHeight="false" outlineLevel="0" collapsed="false">
      <c r="A31" s="30" t="s">
        <v>523</v>
      </c>
      <c r="B31" s="29" t="n">
        <f aca="false">B28+B27*B30</f>
        <v>3982.51282060511</v>
      </c>
    </row>
  </sheetData>
  <conditionalFormatting sqref="B17:H23">
    <cfRule type="colorScale" priority="2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2026-09-19T10:37:20Z</dcterms:created>
  <dc:creator>openpyxl</dc:creator>
  <dc:description/>
  <dc:language>en-US</dc:language>
  <cp:lastModifiedBy/>
  <dcterms:modified xsi:type="dcterms:W3CDTF">2026-09-19T10:37:25Z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